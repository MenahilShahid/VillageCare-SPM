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th SEMESTER\SPM lab\"/>
    </mc:Choice>
  </mc:AlternateContent>
  <xr:revisionPtr revIDLastSave="0" documentId="8_{BE487D78-C3FC-45D9-8CFE-DBE2BAE1D5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" l="1"/>
  <c r="G6" i="1"/>
  <c r="N14" i="1"/>
  <c r="L4" i="1" l="1"/>
  <c r="L3" i="1" l="1"/>
  <c r="L10" i="1"/>
  <c r="L7" i="1"/>
  <c r="L8" i="1"/>
  <c r="L31" i="1"/>
  <c r="L30" i="1"/>
  <c r="L28" i="1"/>
  <c r="L27" i="1"/>
  <c r="L25" i="1"/>
  <c r="L24" i="1"/>
  <c r="L22" i="1"/>
  <c r="L21" i="1"/>
  <c r="L20" i="1"/>
  <c r="L19" i="1"/>
  <c r="L18" i="1"/>
  <c r="L17" i="1"/>
  <c r="L15" i="1"/>
  <c r="L14" i="1"/>
  <c r="L12" i="1"/>
  <c r="L11" i="1"/>
  <c r="M4" i="1"/>
  <c r="G8" i="1"/>
  <c r="G7" i="1"/>
  <c r="H7" i="1"/>
  <c r="H8" i="1"/>
  <c r="H10" i="1"/>
  <c r="H11" i="1"/>
  <c r="H12" i="1"/>
  <c r="H14" i="1"/>
  <c r="H15" i="1"/>
  <c r="H17" i="1"/>
  <c r="H18" i="1"/>
  <c r="H19" i="1"/>
  <c r="H20" i="1"/>
  <c r="H21" i="1"/>
  <c r="H22" i="1"/>
  <c r="H24" i="1"/>
  <c r="H25" i="1"/>
  <c r="H27" i="1"/>
  <c r="H28" i="1"/>
  <c r="H30" i="1"/>
  <c r="H31" i="1"/>
  <c r="H6" i="1"/>
  <c r="G15" i="1"/>
  <c r="G17" i="1"/>
  <c r="G18" i="1"/>
  <c r="G19" i="1"/>
  <c r="G20" i="1"/>
  <c r="G21" i="1"/>
  <c r="G22" i="1"/>
  <c r="G24" i="1"/>
  <c r="G25" i="1"/>
  <c r="G27" i="1"/>
  <c r="G28" i="1"/>
  <c r="G30" i="1"/>
  <c r="G31" i="1"/>
  <c r="G14" i="1"/>
  <c r="G12" i="1"/>
  <c r="G11" i="1"/>
  <c r="G10" i="1"/>
  <c r="I7" i="1"/>
  <c r="I8" i="1"/>
  <c r="I10" i="1"/>
  <c r="I11" i="1"/>
  <c r="I12" i="1"/>
  <c r="I14" i="1"/>
  <c r="I15" i="1"/>
  <c r="I17" i="1"/>
  <c r="I18" i="1"/>
  <c r="I19" i="1"/>
  <c r="I20" i="1"/>
  <c r="I21" i="1"/>
  <c r="I22" i="1"/>
  <c r="I24" i="1"/>
  <c r="I25" i="1"/>
  <c r="I27" i="1"/>
  <c r="I28" i="1"/>
  <c r="I30" i="1"/>
  <c r="I31" i="1"/>
  <c r="I6" i="1"/>
  <c r="M10" i="1" l="1"/>
  <c r="M31" i="1"/>
  <c r="M30" i="1"/>
  <c r="M28" i="1"/>
  <c r="M27" i="1"/>
  <c r="M25" i="1"/>
  <c r="M24" i="1"/>
  <c r="M22" i="1"/>
  <c r="M21" i="1"/>
  <c r="M20" i="1"/>
  <c r="M19" i="1"/>
  <c r="M18" i="1"/>
  <c r="M17" i="1"/>
  <c r="M15" i="1"/>
  <c r="M14" i="1"/>
  <c r="M12" i="1"/>
  <c r="M11" i="1"/>
  <c r="M8" i="1"/>
  <c r="M6" i="1"/>
  <c r="N4" i="1"/>
  <c r="O4" i="1" l="1"/>
  <c r="N10" i="1"/>
  <c r="N31" i="1"/>
  <c r="N30" i="1"/>
  <c r="N28" i="1"/>
  <c r="N27" i="1"/>
  <c r="N25" i="1"/>
  <c r="N24" i="1"/>
  <c r="N22" i="1"/>
  <c r="N21" i="1"/>
  <c r="N20" i="1"/>
  <c r="N19" i="1"/>
  <c r="N18" i="1"/>
  <c r="N17" i="1"/>
  <c r="N15" i="1"/>
  <c r="N12" i="1"/>
  <c r="N11" i="1"/>
  <c r="N6" i="1"/>
  <c r="P4" i="1" l="1"/>
  <c r="P10" i="1" s="1"/>
  <c r="O10" i="1"/>
  <c r="O31" i="1"/>
  <c r="O30" i="1"/>
  <c r="O28" i="1"/>
  <c r="O27" i="1"/>
  <c r="O25" i="1"/>
  <c r="O24" i="1"/>
  <c r="O22" i="1"/>
  <c r="O21" i="1"/>
  <c r="O20" i="1"/>
  <c r="O19" i="1"/>
  <c r="O18" i="1"/>
  <c r="O17" i="1"/>
  <c r="O15" i="1"/>
  <c r="O14" i="1"/>
  <c r="O12" i="1"/>
  <c r="O11" i="1"/>
  <c r="Q4" i="1" l="1"/>
  <c r="P31" i="1"/>
  <c r="P30" i="1"/>
  <c r="P28" i="1"/>
  <c r="P27" i="1"/>
  <c r="P25" i="1"/>
  <c r="P24" i="1"/>
  <c r="P22" i="1"/>
  <c r="P21" i="1"/>
  <c r="P20" i="1"/>
  <c r="P19" i="1"/>
  <c r="P18" i="1"/>
  <c r="P17" i="1"/>
  <c r="P15" i="1"/>
  <c r="P14" i="1"/>
  <c r="P12" i="1"/>
  <c r="P11" i="1"/>
  <c r="R4" i="1" l="1"/>
  <c r="Q10" i="1"/>
  <c r="Q31" i="1"/>
  <c r="Q30" i="1"/>
  <c r="Q28" i="1"/>
  <c r="Q27" i="1"/>
  <c r="Q25" i="1"/>
  <c r="Q24" i="1"/>
  <c r="Q22" i="1"/>
  <c r="Q21" i="1"/>
  <c r="Q20" i="1"/>
  <c r="Q19" i="1"/>
  <c r="Q18" i="1"/>
  <c r="Q17" i="1"/>
  <c r="Q15" i="1"/>
  <c r="Q14" i="1"/>
  <c r="Q12" i="1"/>
  <c r="Q11" i="1"/>
  <c r="S4" i="1" l="1"/>
  <c r="S3" i="1" s="1"/>
  <c r="R10" i="1"/>
  <c r="R31" i="1"/>
  <c r="R30" i="1"/>
  <c r="R28" i="1"/>
  <c r="R27" i="1"/>
  <c r="R25" i="1"/>
  <c r="R24" i="1"/>
  <c r="R22" i="1"/>
  <c r="R21" i="1"/>
  <c r="R20" i="1"/>
  <c r="R19" i="1"/>
  <c r="R18" i="1"/>
  <c r="R17" i="1"/>
  <c r="R15" i="1"/>
  <c r="R14" i="1"/>
  <c r="R12" i="1"/>
  <c r="R11" i="1"/>
  <c r="T4" i="1" l="1"/>
  <c r="S31" i="1"/>
  <c r="S30" i="1"/>
  <c r="S28" i="1"/>
  <c r="S27" i="1"/>
  <c r="S25" i="1"/>
  <c r="S24" i="1"/>
  <c r="S22" i="1"/>
  <c r="S21" i="1"/>
  <c r="S20" i="1"/>
  <c r="S19" i="1"/>
  <c r="S18" i="1"/>
  <c r="S17" i="1"/>
  <c r="S15" i="1"/>
  <c r="S14" i="1"/>
  <c r="S12" i="1"/>
  <c r="S11" i="1"/>
  <c r="T12" i="1" l="1"/>
  <c r="T11" i="1"/>
  <c r="T31" i="1"/>
  <c r="T30" i="1"/>
  <c r="T28" i="1"/>
  <c r="T27" i="1"/>
  <c r="T25" i="1"/>
  <c r="T24" i="1"/>
  <c r="T22" i="1"/>
  <c r="T21" i="1"/>
  <c r="T20" i="1"/>
  <c r="T19" i="1"/>
  <c r="T18" i="1"/>
  <c r="T17" i="1"/>
  <c r="T15" i="1"/>
  <c r="T14" i="1"/>
  <c r="U4" i="1"/>
  <c r="U12" i="1" l="1"/>
  <c r="U11" i="1"/>
  <c r="U31" i="1"/>
  <c r="U30" i="1"/>
  <c r="U28" i="1"/>
  <c r="U27" i="1"/>
  <c r="U25" i="1"/>
  <c r="U24" i="1"/>
  <c r="U22" i="1"/>
  <c r="U21" i="1"/>
  <c r="U20" i="1"/>
  <c r="U19" i="1"/>
  <c r="U18" i="1"/>
  <c r="U17" i="1"/>
  <c r="U15" i="1"/>
  <c r="U14" i="1"/>
  <c r="V4" i="1"/>
  <c r="W4" i="1" l="1"/>
  <c r="V12" i="1"/>
  <c r="V11" i="1"/>
  <c r="V31" i="1"/>
  <c r="V30" i="1"/>
  <c r="V28" i="1"/>
  <c r="V27" i="1"/>
  <c r="V25" i="1"/>
  <c r="V24" i="1"/>
  <c r="V22" i="1"/>
  <c r="V21" i="1"/>
  <c r="V20" i="1"/>
  <c r="V19" i="1"/>
  <c r="V18" i="1"/>
  <c r="V17" i="1"/>
  <c r="V15" i="1"/>
  <c r="V14" i="1"/>
  <c r="X4" i="1" l="1"/>
  <c r="W12" i="1"/>
  <c r="W11" i="1"/>
  <c r="W31" i="1"/>
  <c r="W30" i="1"/>
  <c r="W28" i="1"/>
  <c r="W27" i="1"/>
  <c r="W25" i="1"/>
  <c r="W24" i="1"/>
  <c r="W22" i="1"/>
  <c r="W21" i="1"/>
  <c r="W20" i="1"/>
  <c r="W19" i="1"/>
  <c r="W18" i="1"/>
  <c r="W17" i="1"/>
  <c r="W15" i="1"/>
  <c r="W14" i="1"/>
  <c r="Y4" i="1" l="1"/>
  <c r="X12" i="1"/>
  <c r="X11" i="1"/>
  <c r="X31" i="1"/>
  <c r="X30" i="1"/>
  <c r="X28" i="1"/>
  <c r="X27" i="1"/>
  <c r="X25" i="1"/>
  <c r="X24" i="1"/>
  <c r="X22" i="1"/>
  <c r="X21" i="1"/>
  <c r="X20" i="1"/>
  <c r="X19" i="1"/>
  <c r="X18" i="1"/>
  <c r="X17" i="1"/>
  <c r="X15" i="1"/>
  <c r="X14" i="1"/>
  <c r="Z4" i="1" l="1"/>
  <c r="Z3" i="1" s="1"/>
  <c r="Y12" i="1"/>
  <c r="Y11" i="1"/>
  <c r="Y31" i="1"/>
  <c r="Y30" i="1"/>
  <c r="Y28" i="1"/>
  <c r="Y27" i="1"/>
  <c r="Y25" i="1"/>
  <c r="Y24" i="1"/>
  <c r="Y22" i="1"/>
  <c r="Y21" i="1"/>
  <c r="Y20" i="1"/>
  <c r="Y19" i="1"/>
  <c r="Y18" i="1"/>
  <c r="Y17" i="1"/>
  <c r="Y15" i="1"/>
  <c r="Y14" i="1"/>
  <c r="AA4" i="1" l="1"/>
  <c r="Z15" i="1"/>
  <c r="Z31" i="1"/>
  <c r="Z30" i="1"/>
  <c r="Z28" i="1"/>
  <c r="Z27" i="1"/>
  <c r="Z25" i="1"/>
  <c r="Z24" i="1"/>
  <c r="Z22" i="1"/>
  <c r="Z21" i="1"/>
  <c r="Z20" i="1"/>
  <c r="Z19" i="1"/>
  <c r="Z18" i="1"/>
  <c r="Z17" i="1"/>
  <c r="Z14" i="1"/>
  <c r="AB4" i="1" l="1"/>
  <c r="AA14" i="1"/>
  <c r="AA15" i="1"/>
  <c r="AA31" i="1"/>
  <c r="AA30" i="1"/>
  <c r="AA28" i="1"/>
  <c r="AA27" i="1"/>
  <c r="AA25" i="1"/>
  <c r="AA24" i="1"/>
  <c r="AA22" i="1"/>
  <c r="AA21" i="1"/>
  <c r="AA20" i="1"/>
  <c r="AA19" i="1"/>
  <c r="AA18" i="1"/>
  <c r="AA17" i="1"/>
  <c r="AC4" i="1" l="1"/>
  <c r="AB14" i="1"/>
  <c r="AB15" i="1"/>
  <c r="AB31" i="1"/>
  <c r="AB30" i="1"/>
  <c r="AB28" i="1"/>
  <c r="AB27" i="1"/>
  <c r="AB25" i="1"/>
  <c r="AB24" i="1"/>
  <c r="AB22" i="1"/>
  <c r="AB21" i="1"/>
  <c r="AB20" i="1"/>
  <c r="AB19" i="1"/>
  <c r="AB18" i="1"/>
  <c r="AB17" i="1"/>
  <c r="AC14" i="1" l="1"/>
  <c r="AC15" i="1"/>
  <c r="AC31" i="1"/>
  <c r="AC30" i="1"/>
  <c r="AC28" i="1"/>
  <c r="AC27" i="1"/>
  <c r="AC25" i="1"/>
  <c r="AC24" i="1"/>
  <c r="AC22" i="1"/>
  <c r="AC21" i="1"/>
  <c r="AC20" i="1"/>
  <c r="AC19" i="1"/>
  <c r="AC18" i="1"/>
  <c r="AC17" i="1"/>
  <c r="AD4" i="1"/>
  <c r="AD14" i="1" l="1"/>
  <c r="AD15" i="1"/>
  <c r="AD31" i="1"/>
  <c r="AD30" i="1"/>
  <c r="AD28" i="1"/>
  <c r="AD27" i="1"/>
  <c r="AD25" i="1"/>
  <c r="AD24" i="1"/>
  <c r="AD22" i="1"/>
  <c r="AD21" i="1"/>
  <c r="AD20" i="1"/>
  <c r="AD19" i="1"/>
  <c r="AD18" i="1"/>
  <c r="AD17" i="1"/>
  <c r="AE4" i="1"/>
  <c r="AE14" i="1" l="1"/>
  <c r="AE15" i="1"/>
  <c r="AE31" i="1"/>
  <c r="AE30" i="1"/>
  <c r="AE28" i="1"/>
  <c r="AE27" i="1"/>
  <c r="AE25" i="1"/>
  <c r="AE24" i="1"/>
  <c r="AE22" i="1"/>
  <c r="AE21" i="1"/>
  <c r="AE20" i="1"/>
  <c r="AE19" i="1"/>
  <c r="AE18" i="1"/>
  <c r="AE17" i="1"/>
  <c r="AF4" i="1"/>
  <c r="AF14" i="1" l="1"/>
  <c r="AF15" i="1"/>
  <c r="AF31" i="1"/>
  <c r="AF30" i="1"/>
  <c r="AF28" i="1"/>
  <c r="AF27" i="1"/>
  <c r="AF25" i="1"/>
  <c r="AF24" i="1"/>
  <c r="AF22" i="1"/>
  <c r="AF21" i="1"/>
  <c r="AF20" i="1"/>
  <c r="AF19" i="1"/>
  <c r="AF18" i="1"/>
  <c r="AF17" i="1"/>
  <c r="AG4" i="1"/>
  <c r="AG3" i="1" s="1"/>
  <c r="AH4" i="1" l="1"/>
  <c r="AG18" i="1"/>
  <c r="AG31" i="1"/>
  <c r="AG30" i="1"/>
  <c r="AG28" i="1"/>
  <c r="AG27" i="1"/>
  <c r="AG25" i="1"/>
  <c r="AG24" i="1"/>
  <c r="AG22" i="1"/>
  <c r="AG21" i="1"/>
  <c r="AG20" i="1"/>
  <c r="AG19" i="1"/>
  <c r="AG17" i="1"/>
  <c r="AI4" i="1" l="1"/>
  <c r="AH18" i="1"/>
  <c r="AH17" i="1"/>
  <c r="AH31" i="1"/>
  <c r="AH30" i="1"/>
  <c r="AH28" i="1"/>
  <c r="AH27" i="1"/>
  <c r="AH25" i="1"/>
  <c r="AH24" i="1"/>
  <c r="AH22" i="1"/>
  <c r="AH21" i="1"/>
  <c r="AH20" i="1"/>
  <c r="AH19" i="1"/>
  <c r="AJ4" i="1" l="1"/>
  <c r="AI18" i="1"/>
  <c r="AI17" i="1"/>
  <c r="AI31" i="1"/>
  <c r="AI30" i="1"/>
  <c r="AI28" i="1"/>
  <c r="AI27" i="1"/>
  <c r="AI25" i="1"/>
  <c r="AI24" i="1"/>
  <c r="AI22" i="1"/>
  <c r="AI21" i="1"/>
  <c r="AI20" i="1"/>
  <c r="AI19" i="1"/>
  <c r="AK4" i="1" l="1"/>
  <c r="AJ18" i="1"/>
  <c r="AJ17" i="1"/>
  <c r="AJ31" i="1"/>
  <c r="AJ30" i="1"/>
  <c r="AJ28" i="1"/>
  <c r="AJ27" i="1"/>
  <c r="AJ25" i="1"/>
  <c r="AJ24" i="1"/>
  <c r="AJ22" i="1"/>
  <c r="AJ21" i="1"/>
  <c r="AJ20" i="1"/>
  <c r="AJ19" i="1"/>
  <c r="AL4" i="1" l="1"/>
  <c r="AK18" i="1"/>
  <c r="AK17" i="1"/>
  <c r="AK31" i="1"/>
  <c r="AK30" i="1"/>
  <c r="AK28" i="1"/>
  <c r="AK27" i="1"/>
  <c r="AK25" i="1"/>
  <c r="AK24" i="1"/>
  <c r="AK22" i="1"/>
  <c r="AK21" i="1"/>
  <c r="AK20" i="1"/>
  <c r="AK19" i="1"/>
  <c r="AM4" i="1" l="1"/>
  <c r="AL18" i="1"/>
  <c r="AL17" i="1"/>
  <c r="AL31" i="1"/>
  <c r="AL30" i="1"/>
  <c r="AL28" i="1"/>
  <c r="AL27" i="1"/>
  <c r="AL25" i="1"/>
  <c r="AL24" i="1"/>
  <c r="AL22" i="1"/>
  <c r="AL21" i="1"/>
  <c r="AL20" i="1"/>
  <c r="AL19" i="1"/>
  <c r="AN4" i="1" l="1"/>
  <c r="AN3" i="1" s="1"/>
  <c r="AM18" i="1"/>
  <c r="AM22" i="1"/>
  <c r="AM17" i="1"/>
  <c r="AM31" i="1"/>
  <c r="AM30" i="1"/>
  <c r="AM28" i="1"/>
  <c r="AM27" i="1"/>
  <c r="AM25" i="1"/>
  <c r="AM24" i="1"/>
  <c r="AM21" i="1"/>
  <c r="AM20" i="1"/>
  <c r="AM19" i="1"/>
  <c r="AO4" i="1" l="1"/>
  <c r="AN19" i="1"/>
  <c r="AN18" i="1"/>
  <c r="AN22" i="1"/>
  <c r="AN31" i="1"/>
  <c r="AN30" i="1"/>
  <c r="AN28" i="1"/>
  <c r="AN27" i="1"/>
  <c r="AN25" i="1"/>
  <c r="AN24" i="1"/>
  <c r="AN21" i="1"/>
  <c r="AN20" i="1"/>
  <c r="AP4" i="1" l="1"/>
  <c r="AO19" i="1"/>
  <c r="AO18" i="1"/>
  <c r="AO22" i="1"/>
  <c r="AO31" i="1"/>
  <c r="AO30" i="1"/>
  <c r="AO28" i="1"/>
  <c r="AO27" i="1"/>
  <c r="AO25" i="1"/>
  <c r="AO24" i="1"/>
  <c r="AO21" i="1"/>
  <c r="AO20" i="1"/>
  <c r="AP19" i="1" l="1"/>
  <c r="AP18" i="1"/>
  <c r="AP22" i="1"/>
  <c r="AP31" i="1"/>
  <c r="AP30" i="1"/>
  <c r="AP28" i="1"/>
  <c r="AP27" i="1"/>
  <c r="AP25" i="1"/>
  <c r="AP24" i="1"/>
  <c r="AP21" i="1"/>
  <c r="AP20" i="1"/>
  <c r="AQ4" i="1"/>
  <c r="AQ19" i="1" l="1"/>
  <c r="AQ18" i="1"/>
  <c r="AQ22" i="1"/>
  <c r="AQ31" i="1"/>
  <c r="AQ30" i="1"/>
  <c r="AQ28" i="1"/>
  <c r="AQ27" i="1"/>
  <c r="AQ25" i="1"/>
  <c r="AQ24" i="1"/>
  <c r="AQ21" i="1"/>
  <c r="AQ20" i="1"/>
  <c r="AR4" i="1"/>
  <c r="AS4" i="1" l="1"/>
  <c r="AR19" i="1"/>
  <c r="AR18" i="1"/>
  <c r="AR22" i="1"/>
  <c r="AR31" i="1"/>
  <c r="AR30" i="1"/>
  <c r="AR28" i="1"/>
  <c r="AR27" i="1"/>
  <c r="AR25" i="1"/>
  <c r="AR24" i="1"/>
  <c r="AR21" i="1"/>
  <c r="AR20" i="1"/>
  <c r="AT4" i="1" l="1"/>
  <c r="AS19" i="1"/>
  <c r="AS18" i="1"/>
  <c r="AS22" i="1"/>
  <c r="AS31" i="1"/>
  <c r="AS30" i="1"/>
  <c r="AS28" i="1"/>
  <c r="AS27" i="1"/>
  <c r="AS25" i="1"/>
  <c r="AS24" i="1"/>
  <c r="AS21" i="1"/>
  <c r="AS20" i="1"/>
  <c r="AU4" i="1" l="1"/>
  <c r="AU3" i="1" s="1"/>
  <c r="AT19" i="1"/>
  <c r="AT18" i="1"/>
  <c r="AT31" i="1"/>
  <c r="AT30" i="1"/>
  <c r="AT28" i="1"/>
  <c r="AT27" i="1"/>
  <c r="AT25" i="1"/>
  <c r="AT24" i="1"/>
  <c r="AT22" i="1"/>
  <c r="AT21" i="1"/>
  <c r="AT20" i="1"/>
  <c r="AV4" i="1" l="1"/>
  <c r="AU20" i="1"/>
  <c r="AU19" i="1"/>
  <c r="AU31" i="1"/>
  <c r="AU30" i="1"/>
  <c r="AU28" i="1"/>
  <c r="AU27" i="1"/>
  <c r="AU25" i="1"/>
  <c r="AU24" i="1"/>
  <c r="AU22" i="1"/>
  <c r="AU21" i="1"/>
  <c r="AW4" i="1" l="1"/>
  <c r="AV19" i="1"/>
  <c r="AV20" i="1"/>
  <c r="AV31" i="1"/>
  <c r="AV30" i="1"/>
  <c r="AV28" i="1"/>
  <c r="AV27" i="1"/>
  <c r="AV25" i="1"/>
  <c r="AV24" i="1"/>
  <c r="AV22" i="1"/>
  <c r="AV21" i="1"/>
  <c r="AX4" i="1" l="1"/>
  <c r="AW19" i="1"/>
  <c r="AW20" i="1"/>
  <c r="AW31" i="1"/>
  <c r="AW30" i="1"/>
  <c r="AW28" i="1"/>
  <c r="AW27" i="1"/>
  <c r="AW25" i="1"/>
  <c r="AW24" i="1"/>
  <c r="AW22" i="1"/>
  <c r="AW21" i="1"/>
  <c r="AY4" i="1" l="1"/>
  <c r="AX19" i="1"/>
  <c r="AX20" i="1"/>
  <c r="AX31" i="1"/>
  <c r="AX30" i="1"/>
  <c r="AX28" i="1"/>
  <c r="AX27" i="1"/>
  <c r="AX25" i="1"/>
  <c r="AX24" i="1"/>
  <c r="AX22" i="1"/>
  <c r="AX21" i="1"/>
  <c r="AZ4" i="1" l="1"/>
  <c r="AY19" i="1"/>
  <c r="AY20" i="1"/>
  <c r="AY31" i="1"/>
  <c r="AY30" i="1"/>
  <c r="AY28" i="1"/>
  <c r="AY27" i="1"/>
  <c r="AY25" i="1"/>
  <c r="AY24" i="1"/>
  <c r="AY22" i="1"/>
  <c r="AY21" i="1"/>
  <c r="BA4" i="1" l="1"/>
  <c r="AZ19" i="1"/>
  <c r="AZ20" i="1"/>
  <c r="AZ31" i="1"/>
  <c r="AZ30" i="1"/>
  <c r="AZ28" i="1"/>
  <c r="AZ27" i="1"/>
  <c r="AZ25" i="1"/>
  <c r="AZ24" i="1"/>
  <c r="AZ22" i="1"/>
  <c r="AZ21" i="1"/>
  <c r="BB4" i="1" l="1"/>
  <c r="BB3" i="1" s="1"/>
  <c r="BA19" i="1"/>
  <c r="BA20" i="1"/>
  <c r="BA31" i="1"/>
  <c r="BA30" i="1"/>
  <c r="BA28" i="1"/>
  <c r="BA27" i="1"/>
  <c r="BA25" i="1"/>
  <c r="BA24" i="1"/>
  <c r="BA22" i="1"/>
  <c r="BA21" i="1"/>
  <c r="BC4" i="1" l="1"/>
  <c r="BB21" i="1"/>
  <c r="BB22" i="1"/>
  <c r="BB20" i="1"/>
  <c r="BB31" i="1"/>
  <c r="BB30" i="1"/>
  <c r="BB28" i="1"/>
  <c r="BB27" i="1"/>
  <c r="BB25" i="1"/>
  <c r="BB24" i="1"/>
  <c r="BD4" i="1" l="1"/>
  <c r="BC20" i="1"/>
  <c r="BC21" i="1"/>
  <c r="BC22" i="1"/>
  <c r="BC31" i="1"/>
  <c r="BC30" i="1"/>
  <c r="BC28" i="1"/>
  <c r="BC27" i="1"/>
  <c r="BC25" i="1"/>
  <c r="BC24" i="1"/>
  <c r="BE4" i="1" l="1"/>
  <c r="BD20" i="1"/>
  <c r="BD21" i="1"/>
  <c r="BD22" i="1"/>
  <c r="BD31" i="1"/>
  <c r="BD30" i="1"/>
  <c r="BD28" i="1"/>
  <c r="BD27" i="1"/>
  <c r="BD25" i="1"/>
  <c r="BD24" i="1"/>
  <c r="BF4" i="1" l="1"/>
  <c r="BE20" i="1"/>
  <c r="BE21" i="1"/>
  <c r="BE22" i="1"/>
  <c r="BE31" i="1"/>
  <c r="BE30" i="1"/>
  <c r="BE28" i="1"/>
  <c r="BE27" i="1"/>
  <c r="BE25" i="1"/>
  <c r="BE24" i="1"/>
  <c r="BG4" i="1" l="1"/>
  <c r="BF20" i="1"/>
  <c r="BF21" i="1"/>
  <c r="BF22" i="1"/>
  <c r="BF31" i="1"/>
  <c r="BF30" i="1"/>
  <c r="BF28" i="1"/>
  <c r="BF27" i="1"/>
  <c r="BF25" i="1"/>
  <c r="BF24" i="1"/>
  <c r="BH4" i="1" l="1"/>
  <c r="BG20" i="1"/>
  <c r="BG21" i="1"/>
  <c r="BG22" i="1"/>
  <c r="BG31" i="1"/>
  <c r="BG30" i="1"/>
  <c r="BG28" i="1"/>
  <c r="BG27" i="1"/>
  <c r="BG25" i="1"/>
  <c r="BG24" i="1"/>
  <c r="BI4" i="1" l="1"/>
  <c r="BI3" i="1" s="1"/>
  <c r="BH20" i="1"/>
  <c r="BH21" i="1"/>
  <c r="BH22" i="1"/>
  <c r="BH31" i="1"/>
  <c r="BH30" i="1"/>
  <c r="BH28" i="1"/>
  <c r="BH27" i="1"/>
  <c r="BH25" i="1"/>
  <c r="BH24" i="1"/>
  <c r="BJ4" i="1" l="1"/>
  <c r="BI22" i="1"/>
  <c r="BI31" i="1"/>
  <c r="BI30" i="1"/>
  <c r="BI28" i="1"/>
  <c r="BI27" i="1"/>
  <c r="BI25" i="1"/>
  <c r="BI24" i="1"/>
  <c r="BK4" i="1" l="1"/>
  <c r="BJ22" i="1"/>
  <c r="BJ31" i="1"/>
  <c r="BJ30" i="1"/>
  <c r="BJ28" i="1"/>
  <c r="BJ27" i="1"/>
  <c r="BJ25" i="1"/>
  <c r="BJ24" i="1"/>
  <c r="BL4" i="1" l="1"/>
  <c r="BK22" i="1"/>
  <c r="BK31" i="1"/>
  <c r="BK30" i="1"/>
  <c r="BK28" i="1"/>
  <c r="BK27" i="1"/>
  <c r="BK25" i="1"/>
  <c r="BK24" i="1"/>
  <c r="BM4" i="1" l="1"/>
  <c r="BL22" i="1"/>
  <c r="BL31" i="1"/>
  <c r="BL30" i="1"/>
  <c r="BL28" i="1"/>
  <c r="BL27" i="1"/>
  <c r="BL25" i="1"/>
  <c r="BL24" i="1"/>
  <c r="BN4" i="1" l="1"/>
  <c r="BM22" i="1"/>
  <c r="BM31" i="1"/>
  <c r="BM30" i="1"/>
  <c r="BM28" i="1"/>
  <c r="BM27" i="1"/>
  <c r="BM25" i="1"/>
  <c r="BM24" i="1"/>
  <c r="BO4" i="1" l="1"/>
  <c r="BN22" i="1"/>
  <c r="BN31" i="1"/>
  <c r="BN30" i="1"/>
  <c r="BN28" i="1"/>
  <c r="BN27" i="1"/>
  <c r="BN25" i="1"/>
  <c r="BN24" i="1"/>
  <c r="BP4" i="1" l="1"/>
  <c r="BP3" i="1" s="1"/>
  <c r="BO22" i="1"/>
  <c r="BO31" i="1"/>
  <c r="BO30" i="1"/>
  <c r="BO28" i="1"/>
  <c r="BO27" i="1"/>
  <c r="BO25" i="1"/>
  <c r="BO24" i="1"/>
  <c r="BP25" i="1" l="1"/>
  <c r="BP31" i="1"/>
  <c r="BP30" i="1"/>
  <c r="BP28" i="1"/>
  <c r="BP27" i="1"/>
  <c r="BP24" i="1"/>
  <c r="BQ4" i="1"/>
  <c r="BR4" i="1" l="1"/>
  <c r="BQ24" i="1"/>
  <c r="BQ25" i="1"/>
  <c r="BQ31" i="1"/>
  <c r="BQ30" i="1"/>
  <c r="BQ28" i="1"/>
  <c r="BQ27" i="1"/>
  <c r="BS4" i="1" l="1"/>
  <c r="BR24" i="1"/>
  <c r="BR25" i="1"/>
  <c r="BR31" i="1"/>
  <c r="BR30" i="1"/>
  <c r="BR28" i="1"/>
  <c r="BR27" i="1"/>
  <c r="BS24" i="1" l="1"/>
  <c r="BS25" i="1"/>
  <c r="BS31" i="1"/>
  <c r="BS30" i="1"/>
  <c r="BS28" i="1"/>
  <c r="BS27" i="1"/>
  <c r="BT4" i="1"/>
  <c r="BT24" i="1" l="1"/>
  <c r="BT25" i="1"/>
  <c r="BT31" i="1"/>
  <c r="BT30" i="1"/>
  <c r="BT28" i="1"/>
  <c r="BT27" i="1"/>
  <c r="BU4" i="1"/>
  <c r="BV4" i="1" l="1"/>
  <c r="BU24" i="1"/>
  <c r="BU25" i="1"/>
  <c r="BU31" i="1"/>
  <c r="BU30" i="1"/>
  <c r="BU28" i="1"/>
  <c r="BU27" i="1"/>
  <c r="BW4" i="1" l="1"/>
  <c r="BW3" i="1" s="1"/>
  <c r="BV24" i="1"/>
  <c r="BV25" i="1"/>
  <c r="BV31" i="1"/>
  <c r="BV30" i="1"/>
  <c r="BV28" i="1"/>
  <c r="BV27" i="1"/>
  <c r="BX4" i="1" l="1"/>
  <c r="BW28" i="1"/>
  <c r="BW31" i="1"/>
  <c r="BW30" i="1"/>
  <c r="BW27" i="1"/>
  <c r="BY4" i="1" l="1"/>
  <c r="BX27" i="1"/>
  <c r="BX28" i="1"/>
  <c r="BX31" i="1"/>
  <c r="BX30" i="1"/>
  <c r="BZ4" i="1" l="1"/>
  <c r="BY27" i="1"/>
  <c r="BY28" i="1"/>
  <c r="BY31" i="1"/>
  <c r="BY30" i="1"/>
  <c r="CA4" i="1" l="1"/>
  <c r="BZ27" i="1"/>
  <c r="BZ28" i="1"/>
  <c r="BZ31" i="1"/>
  <c r="BZ30" i="1"/>
  <c r="CA27" i="1" l="1"/>
  <c r="CA28" i="1"/>
  <c r="CA31" i="1"/>
  <c r="CA30" i="1"/>
  <c r="CB4" i="1"/>
  <c r="CC4" i="1" l="1"/>
  <c r="CB27" i="1"/>
  <c r="CB28" i="1"/>
  <c r="CB31" i="1"/>
  <c r="CB30" i="1"/>
  <c r="CD4" i="1" l="1"/>
  <c r="CD3" i="1" s="1"/>
  <c r="CC27" i="1"/>
  <c r="CC28" i="1"/>
  <c r="CC31" i="1"/>
  <c r="CC30" i="1"/>
  <c r="CE4" i="1" l="1"/>
  <c r="CD31" i="1"/>
  <c r="CD30" i="1"/>
  <c r="CF4" i="1" l="1"/>
  <c r="CE30" i="1"/>
  <c r="CE31" i="1"/>
  <c r="CG4" i="1" l="1"/>
  <c r="CF30" i="1"/>
  <c r="CF31" i="1"/>
  <c r="CG30" i="1" l="1"/>
  <c r="CG31" i="1"/>
  <c r="CH4" i="1"/>
  <c r="CI4" i="1" l="1"/>
  <c r="CH30" i="1"/>
  <c r="CH31" i="1"/>
  <c r="CJ4" i="1" l="1"/>
  <c r="CI30" i="1"/>
  <c r="CI31" i="1"/>
  <c r="CJ30" i="1" l="1"/>
  <c r="CJ31" i="1"/>
</calcChain>
</file>

<file path=xl/sharedStrings.xml><?xml version="1.0" encoding="utf-8"?>
<sst xmlns="http://schemas.openxmlformats.org/spreadsheetml/2006/main" count="100" uniqueCount="79">
  <si>
    <t>Health Care  APP WBS</t>
  </si>
  <si>
    <t>ID</t>
  </si>
  <si>
    <t>Phase</t>
  </si>
  <si>
    <t>Activity Name</t>
  </si>
  <si>
    <t>Description</t>
  </si>
  <si>
    <t>Responsibilities</t>
  </si>
  <si>
    <t>Procedure</t>
  </si>
  <si>
    <t>Start Week</t>
  </si>
  <si>
    <t>End Week</t>
  </si>
  <si>
    <t>Duration</t>
  </si>
  <si>
    <t>Start Date</t>
  </si>
  <si>
    <t>EndDate</t>
  </si>
  <si>
    <t xml:space="preserve">                                          Phase 1: Project Initiation                                                                                                                                                                                                         </t>
  </si>
  <si>
    <t>Intiation</t>
  </si>
  <si>
    <t>Project idea Selection</t>
  </si>
  <si>
    <t>Define Problem , target user &amp; benift</t>
  </si>
  <si>
    <t>Project Manager</t>
  </si>
  <si>
    <t xml:space="preserve">                    -</t>
  </si>
  <si>
    <t>Project proposal Preparation</t>
  </si>
  <si>
    <t>Write Propsal With Objective, socpe &amp; feasibilty</t>
  </si>
  <si>
    <t>All Members</t>
  </si>
  <si>
    <t>Project CharterDevelopment</t>
  </si>
  <si>
    <t>Prepare charter with milestone &amp; stakeholders</t>
  </si>
  <si>
    <t>Phase 2: Requiremnet and Planning</t>
  </si>
  <si>
    <t>Planning</t>
  </si>
  <si>
    <t>Reuirement Gathering</t>
  </si>
  <si>
    <t>Collect Functional &amp; non-funational Requirments</t>
  </si>
  <si>
    <t>Business Analyst</t>
  </si>
  <si>
    <t>System analysis &amp; Risk identification</t>
  </si>
  <si>
    <t>Analyze requirement,define architecture &amp; idetification</t>
  </si>
  <si>
    <t>Team lead</t>
  </si>
  <si>
    <t>Budget &amp; Resource Planning</t>
  </si>
  <si>
    <t>Finalize budget &amp; assigne team role</t>
  </si>
  <si>
    <t xml:space="preserve">Phase3: System Design                                                                                                                                                             </t>
  </si>
  <si>
    <t>Design</t>
  </si>
  <si>
    <t>UI/Ux Design</t>
  </si>
  <si>
    <t>Design screen for Patients,doctors &amp; pharmcistsis</t>
  </si>
  <si>
    <t>UI/UX Designer</t>
  </si>
  <si>
    <t>Database &amp; Archtecture Design</t>
  </si>
  <si>
    <t>Design Firebase DB schema &amp; Ract-native architecture</t>
  </si>
  <si>
    <t>Backend developer / Tech lead</t>
  </si>
  <si>
    <t xml:space="preserve">Phase4: Development                                                                                                                                                   </t>
  </si>
  <si>
    <t>Development</t>
  </si>
  <si>
    <t xml:space="preserve">Patient Registration &amp; Login </t>
  </si>
  <si>
    <t>Develop secure Login &amp; registration system</t>
  </si>
  <si>
    <t xml:space="preserve"> Frontend developer</t>
  </si>
  <si>
    <t>Online Doctor Consultation Module</t>
  </si>
  <si>
    <t>Build appointmnet booking &amp; video consultation</t>
  </si>
  <si>
    <t>Full Stack developer</t>
  </si>
  <si>
    <t>Medicine Ordering &amp; Delivery</t>
  </si>
  <si>
    <t>Prescription upload ,order &amp; tracking system</t>
  </si>
  <si>
    <t>Lab Test Booking &amp; Report</t>
  </si>
  <si>
    <t>Labbooking,sample Collection &amp; report module</t>
  </si>
  <si>
    <t xml:space="preserve">Backend developer </t>
  </si>
  <si>
    <t>Payment &amp; Notification System</t>
  </si>
  <si>
    <t>Integrate EasyPaisa/JazzCash &amp; push notification</t>
  </si>
  <si>
    <t>Admin Dashboard</t>
  </si>
  <si>
    <t>Build admin panel for user mangemnt&amp;monitor</t>
  </si>
  <si>
    <t xml:space="preserve">Phase5: Testing and QA                                                                                                                                              </t>
  </si>
  <si>
    <t>Testing</t>
  </si>
  <si>
    <t>Unit &amp; Integration testing</t>
  </si>
  <si>
    <t>Testing indiviual modules &amp; their integrataions</t>
  </si>
  <si>
    <t>QA Engineer</t>
  </si>
  <si>
    <t>User Acceptance &amp; Security Testing</t>
  </si>
  <si>
    <t>UAT with real users &amp; performance/security check</t>
  </si>
  <si>
    <t>QA + Project Manager</t>
  </si>
  <si>
    <t xml:space="preserve">Phase6: Deployment                                                                                                                                                    </t>
  </si>
  <si>
    <t>Deploymnet</t>
  </si>
  <si>
    <t>Cloud steup &amp; App store Deployment</t>
  </si>
  <si>
    <t>configure Firebase server &amp; deploy to google</t>
  </si>
  <si>
    <t>DevOps / Developer</t>
  </si>
  <si>
    <t>User Traning</t>
  </si>
  <si>
    <t>Train doctors, Pharmacists &amp; Lab Technicians</t>
  </si>
  <si>
    <t xml:space="preserve">Phase7: Project CLosure                                                                                                                                                                  </t>
  </si>
  <si>
    <t>Closure</t>
  </si>
  <si>
    <t>Documentation Submission</t>
  </si>
  <si>
    <t>Finalize &amp; submit all project documnetation</t>
  </si>
  <si>
    <t>Final Project review &amp; Sign-off</t>
  </si>
  <si>
    <t>conduct final review meeting &amp; get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</si>
</sst>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4"/>
      <color rgb="FF000000"/>
      <name val="Calibri"/>
      <scheme val="minor"/>
    </font>
    <font>
      <sz val="11"/>
      <color rgb="FF000000"/>
      <name val="Calibri"/>
      <charset val="1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0000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5090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0" fillId="0" borderId="7" xfId="0" applyBorder="1"/>
    <xf numFmtId="0" fontId="0" fillId="0" borderId="7" xfId="0" applyBorder="1" applyAlignment="1">
      <alignment wrapText="1"/>
    </xf>
    <xf numFmtId="15" fontId="0" fillId="0" borderId="7" xfId="0" applyNumberFormat="1" applyBorder="1"/>
    <xf numFmtId="0" fontId="5" fillId="0" borderId="7" xfId="0" applyFont="1" applyBorder="1"/>
    <xf numFmtId="14" fontId="5" fillId="0" borderId="7" xfId="0" applyNumberFormat="1" applyFont="1" applyBorder="1"/>
    <xf numFmtId="14" fontId="0" fillId="0" borderId="7" xfId="0" applyNumberFormat="1" applyBorder="1"/>
    <xf numFmtId="15" fontId="0" fillId="0" borderId="0" xfId="0" applyNumberFormat="1"/>
    <xf numFmtId="14" fontId="0" fillId="0" borderId="0" xfId="0" applyNumberFormat="1"/>
    <xf numFmtId="0" fontId="6" fillId="2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8" fillId="0" borderId="0" xfId="0" applyFont="1"/>
  </cellXfs>
  <cellStyles count="1">
    <cellStyle name="Normal" xfId="0" builtinId="0"/>
  </cellStyles>
  <dxfs count="10">
    <dxf>
      <font>
        <color rgb="FFC00000"/>
      </font>
      <fill>
        <patternFill>
          <bgColor rgb="FFC0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7030A0"/>
      </font>
      <fill>
        <patternFill>
          <bgColor rgb="FF7030A0"/>
        </patternFill>
      </fill>
    </dxf>
    <dxf>
      <font>
        <color theme="6" tint="-0.499984740745262"/>
      </font>
      <fill>
        <patternFill>
          <bgColor theme="6" tint="-0.499984740745262"/>
        </patternFill>
      </fill>
    </dxf>
    <dxf>
      <font>
        <color theme="7" tint="-0.499984740745262"/>
      </font>
      <fill>
        <patternFill>
          <bgColor theme="7" tint="-0.499984740745262"/>
        </patternFill>
      </fill>
    </dxf>
    <dxf>
      <font>
        <color theme="8" tint="-0.499984740745262"/>
      </font>
      <fill>
        <patternFill>
          <bgColor theme="8" tint="-0.499984740745262"/>
        </patternFill>
      </fill>
    </dxf>
    <dxf>
      <font>
        <color theme="8" tint="-0.499984740745262"/>
      </font>
      <fill>
        <patternFill>
          <bgColor theme="8" tint="-0.499984740745262"/>
        </patternFill>
      </fill>
    </dxf>
    <dxf>
      <font>
        <color theme="8" tint="-0.499984740745262"/>
      </font>
      <fill>
        <patternFill>
          <bgColor theme="8" tint="-0.499984740745262"/>
        </patternFill>
      </fill>
    </dxf>
    <dxf>
      <font>
        <color theme="8" tint="-0.499984740745262"/>
      </font>
      <fill>
        <patternFill>
          <bgColor theme="8" tint="-0.499984740745262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</dxfs>
  <tableStyles count="0" defaultTableStyle="TableStyleMedium2" defaultPivotStyle="PivotStyleMedium9"/>
  <colors>
    <mruColors>
      <color rgb="FF7509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2"/>
  <sheetViews>
    <sheetView tabSelected="1" topLeftCell="A15" zoomScale="80" zoomScaleNormal="62" workbookViewId="0">
      <selection activeCell="F32" sqref="F32"/>
    </sheetView>
  </sheetViews>
  <sheetFormatPr defaultRowHeight="15"/>
  <cols>
    <col min="2" max="2" width="15.5703125" customWidth="1"/>
    <col min="3" max="3" width="32.7109375" customWidth="1"/>
    <col min="4" max="4" width="37.42578125" customWidth="1"/>
    <col min="5" max="6" width="23.28515625" customWidth="1"/>
    <col min="7" max="7" width="12.85546875" customWidth="1"/>
    <col min="8" max="8" width="16.28515625" customWidth="1"/>
    <col min="9" max="9" width="12.42578125" customWidth="1"/>
    <col min="10" max="11" width="12" customWidth="1"/>
    <col min="12" max="12" width="11.28515625" customWidth="1"/>
    <col min="15" max="15" width="12.5703125" customWidth="1"/>
    <col min="20" max="20" width="10.5703125" customWidth="1"/>
    <col min="21" max="21" width="12.5703125" customWidth="1"/>
    <col min="22" max="22" width="12.140625" customWidth="1"/>
    <col min="23" max="23" width="12" customWidth="1"/>
    <col min="24" max="24" width="11.5703125" customWidth="1"/>
    <col min="25" max="25" width="12.42578125" customWidth="1"/>
    <col min="26" max="26" width="10.7109375" customWidth="1"/>
    <col min="27" max="27" width="11.28515625" customWidth="1"/>
    <col min="28" max="28" width="12.28515625" customWidth="1"/>
    <col min="29" max="29" width="12" customWidth="1"/>
    <col min="30" max="30" width="12.140625" customWidth="1"/>
    <col min="31" max="31" width="15.42578125" customWidth="1"/>
    <col min="32" max="32" width="12.5703125" customWidth="1"/>
    <col min="33" max="33" width="14.7109375" customWidth="1"/>
    <col min="34" max="34" width="12.28515625" customWidth="1"/>
    <col min="35" max="35" width="12.5703125" customWidth="1"/>
    <col min="36" max="36" width="14" customWidth="1"/>
    <col min="37" max="37" width="14.7109375" customWidth="1"/>
    <col min="38" max="38" width="15" customWidth="1"/>
    <col min="39" max="39" width="12.5703125" customWidth="1"/>
    <col min="40" max="40" width="12.42578125" customWidth="1"/>
    <col min="41" max="41" width="13.42578125" customWidth="1"/>
    <col min="42" max="42" width="12.5703125" customWidth="1"/>
    <col min="43" max="43" width="13.140625" customWidth="1"/>
    <col min="44" max="44" width="14.140625" customWidth="1"/>
    <col min="45" max="45" width="13.140625" customWidth="1"/>
    <col min="46" max="46" width="11.7109375" customWidth="1"/>
    <col min="47" max="47" width="12.140625" customWidth="1"/>
    <col min="48" max="48" width="11.5703125" customWidth="1"/>
    <col min="49" max="49" width="12.42578125" customWidth="1"/>
    <col min="50" max="50" width="12.85546875" customWidth="1"/>
    <col min="51" max="51" width="13.85546875" customWidth="1"/>
    <col min="52" max="53" width="12.5703125" customWidth="1"/>
    <col min="54" max="54" width="15.42578125" customWidth="1"/>
    <col min="55" max="55" width="11.28515625" customWidth="1"/>
    <col min="56" max="56" width="12.140625" customWidth="1"/>
    <col min="57" max="57" width="13.7109375" customWidth="1"/>
    <col min="58" max="58" width="13.28515625" customWidth="1"/>
    <col min="59" max="59" width="12.28515625" customWidth="1"/>
    <col min="60" max="60" width="13.140625" customWidth="1"/>
    <col min="61" max="61" width="12.85546875" customWidth="1"/>
    <col min="62" max="62" width="12.28515625" customWidth="1"/>
    <col min="63" max="63" width="12.5703125" customWidth="1"/>
    <col min="64" max="64" width="13.28515625" customWidth="1"/>
    <col min="65" max="65" width="12.28515625" customWidth="1"/>
    <col min="66" max="68" width="13.7109375" customWidth="1"/>
    <col min="69" max="69" width="14.5703125" customWidth="1"/>
    <col min="70" max="70" width="13" customWidth="1"/>
    <col min="71" max="71" width="12.85546875" customWidth="1"/>
    <col min="72" max="72" width="17.28515625" customWidth="1"/>
    <col min="73" max="73" width="17.7109375" customWidth="1"/>
    <col min="74" max="74" width="10.42578125" customWidth="1"/>
    <col min="75" max="75" width="12.28515625" customWidth="1"/>
    <col min="76" max="76" width="13.42578125" customWidth="1"/>
    <col min="77" max="77" width="14.85546875" customWidth="1"/>
    <col min="78" max="78" width="15.7109375" customWidth="1"/>
    <col min="79" max="79" width="14.5703125" customWidth="1"/>
    <col min="80" max="80" width="11.7109375" customWidth="1"/>
    <col min="81" max="81" width="15.28515625" customWidth="1"/>
    <col min="82" max="82" width="14.140625" customWidth="1"/>
    <col min="83" max="83" width="13.140625" customWidth="1"/>
    <col min="84" max="84" width="12.28515625" customWidth="1"/>
    <col min="85" max="85" width="12.140625" customWidth="1"/>
    <col min="86" max="86" width="11.5703125" customWidth="1"/>
    <col min="87" max="87" width="12.85546875" customWidth="1"/>
    <col min="88" max="88" width="16.140625" customWidth="1"/>
    <col min="89" max="89" width="13.28515625" customWidth="1"/>
    <col min="90" max="90" width="12.42578125" customWidth="1"/>
    <col min="91" max="91" width="12.28515625" customWidth="1"/>
    <col min="92" max="92" width="13.28515625" customWidth="1"/>
    <col min="93" max="93" width="14" customWidth="1"/>
  </cols>
  <sheetData>
    <row r="1" spans="1:88">
      <c r="B1" s="28" t="s">
        <v>0</v>
      </c>
      <c r="C1" s="29"/>
      <c r="D1" s="29"/>
      <c r="E1" s="29"/>
      <c r="F1" s="29"/>
      <c r="G1" s="29"/>
      <c r="H1" s="29"/>
      <c r="I1" s="30"/>
    </row>
    <row r="2" spans="1:88">
      <c r="B2" s="31"/>
      <c r="C2" s="32"/>
      <c r="D2" s="32"/>
      <c r="E2" s="32"/>
      <c r="F2" s="32"/>
      <c r="G2" s="32"/>
      <c r="H2" s="32"/>
      <c r="I2" s="33"/>
    </row>
    <row r="3" spans="1:88" ht="26.25" customHeight="1">
      <c r="L3" s="13" t="str">
        <f>"Week "&amp;INT((L4-$L$4)/7)+1</f>
        <v>Week 1</v>
      </c>
      <c r="M3" s="13"/>
      <c r="N3" s="13"/>
      <c r="O3" s="13"/>
      <c r="P3" s="13"/>
      <c r="Q3" s="13"/>
      <c r="R3" s="13"/>
      <c r="S3" s="22" t="str">
        <f t="shared" ref="M3:BX3" si="0">"Week "&amp;INT((S4-$L$4)/7)+1</f>
        <v>Week 2</v>
      </c>
      <c r="T3" s="22"/>
      <c r="U3" s="22"/>
      <c r="V3" s="22"/>
      <c r="W3" s="22"/>
      <c r="X3" s="22"/>
      <c r="Y3" s="22"/>
      <c r="Z3" s="21" t="str">
        <f t="shared" si="0"/>
        <v>Week 3</v>
      </c>
      <c r="AA3" s="21"/>
      <c r="AB3" s="21"/>
      <c r="AC3" s="21"/>
      <c r="AD3" s="21"/>
      <c r="AE3" s="21"/>
      <c r="AF3" s="21"/>
      <c r="AG3" s="20" t="str">
        <f t="shared" si="0"/>
        <v>Week 4</v>
      </c>
      <c r="AH3" s="20"/>
      <c r="AI3" s="20"/>
      <c r="AJ3" s="20"/>
      <c r="AK3" s="20"/>
      <c r="AL3" s="20"/>
      <c r="AM3" s="20"/>
      <c r="AN3" s="19" t="str">
        <f t="shared" si="0"/>
        <v>Week 5</v>
      </c>
      <c r="AO3" s="19"/>
      <c r="AP3" s="19"/>
      <c r="AQ3" s="19"/>
      <c r="AR3" s="19"/>
      <c r="AS3" s="19"/>
      <c r="AT3" s="19"/>
      <c r="AU3" s="16" t="str">
        <f t="shared" si="0"/>
        <v>Week 6</v>
      </c>
      <c r="AV3" s="16"/>
      <c r="AW3" s="16"/>
      <c r="AX3" s="16"/>
      <c r="AY3" s="16"/>
      <c r="AZ3" s="16"/>
      <c r="BA3" s="16"/>
      <c r="BB3" s="18" t="str">
        <f t="shared" si="0"/>
        <v>Week 7</v>
      </c>
      <c r="BC3" s="18"/>
      <c r="BD3" s="18"/>
      <c r="BE3" s="18"/>
      <c r="BF3" s="18"/>
      <c r="BG3" s="18"/>
      <c r="BH3" s="18"/>
      <c r="BI3" s="17" t="str">
        <f t="shared" si="0"/>
        <v>Week 8</v>
      </c>
      <c r="BJ3" s="17"/>
      <c r="BK3" s="17"/>
      <c r="BL3" s="17"/>
      <c r="BM3" s="17"/>
      <c r="BN3" s="17"/>
      <c r="BO3" s="17"/>
      <c r="BP3" s="16" t="str">
        <f t="shared" si="0"/>
        <v>Week 9</v>
      </c>
      <c r="BQ3" s="16"/>
      <c r="BR3" s="16"/>
      <c r="BS3" s="16"/>
      <c r="BT3" s="16"/>
      <c r="BU3" s="16"/>
      <c r="BV3" s="16"/>
      <c r="BW3" s="15" t="str">
        <f t="shared" si="0"/>
        <v>Week 10</v>
      </c>
      <c r="BX3" s="15"/>
      <c r="BY3" s="15"/>
      <c r="BZ3" s="15"/>
      <c r="CA3" s="15"/>
      <c r="CB3" s="15"/>
      <c r="CC3" s="15"/>
      <c r="CD3" s="14" t="str">
        <f t="shared" ref="BY3:CJ3" si="1">"Week "&amp;INT((CD4-$L$4)/7)+1</f>
        <v>Week 11</v>
      </c>
      <c r="CE3" s="14"/>
      <c r="CF3" s="14"/>
      <c r="CG3" s="14"/>
      <c r="CH3" s="14"/>
      <c r="CI3" s="14"/>
      <c r="CJ3" s="14"/>
    </row>
    <row r="4" spans="1:88" ht="16.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6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12">
        <f>DATE(2026,6,2)</f>
        <v>46175</v>
      </c>
      <c r="M4" s="12">
        <f>L4+1</f>
        <v>46176</v>
      </c>
      <c r="N4" s="12">
        <f t="shared" ref="N4:BY4" si="2">M4+1</f>
        <v>46177</v>
      </c>
      <c r="O4" s="12">
        <f t="shared" si="2"/>
        <v>46178</v>
      </c>
      <c r="P4" s="12">
        <f t="shared" si="2"/>
        <v>46179</v>
      </c>
      <c r="Q4" s="12">
        <f t="shared" si="2"/>
        <v>46180</v>
      </c>
      <c r="R4" s="12">
        <f t="shared" si="2"/>
        <v>46181</v>
      </c>
      <c r="S4" s="12">
        <f t="shared" si="2"/>
        <v>46182</v>
      </c>
      <c r="T4" s="12">
        <f t="shared" si="2"/>
        <v>46183</v>
      </c>
      <c r="U4" s="12">
        <f t="shared" si="2"/>
        <v>46184</v>
      </c>
      <c r="V4" s="12">
        <f t="shared" si="2"/>
        <v>46185</v>
      </c>
      <c r="W4" s="12">
        <f t="shared" si="2"/>
        <v>46186</v>
      </c>
      <c r="X4" s="12">
        <f t="shared" si="2"/>
        <v>46187</v>
      </c>
      <c r="Y4" s="12">
        <f t="shared" si="2"/>
        <v>46188</v>
      </c>
      <c r="Z4" s="12">
        <f t="shared" si="2"/>
        <v>46189</v>
      </c>
      <c r="AA4" s="12">
        <f t="shared" si="2"/>
        <v>46190</v>
      </c>
      <c r="AB4" s="12">
        <f t="shared" si="2"/>
        <v>46191</v>
      </c>
      <c r="AC4" s="12">
        <f t="shared" si="2"/>
        <v>46192</v>
      </c>
      <c r="AD4" s="12">
        <f t="shared" si="2"/>
        <v>46193</v>
      </c>
      <c r="AE4" s="12">
        <f t="shared" si="2"/>
        <v>46194</v>
      </c>
      <c r="AF4" s="12">
        <f t="shared" si="2"/>
        <v>46195</v>
      </c>
      <c r="AG4" s="12">
        <f t="shared" si="2"/>
        <v>46196</v>
      </c>
      <c r="AH4" s="12">
        <f t="shared" si="2"/>
        <v>46197</v>
      </c>
      <c r="AI4" s="12">
        <f t="shared" si="2"/>
        <v>46198</v>
      </c>
      <c r="AJ4" s="12">
        <f t="shared" si="2"/>
        <v>46199</v>
      </c>
      <c r="AK4" s="12">
        <f t="shared" si="2"/>
        <v>46200</v>
      </c>
      <c r="AL4" s="12">
        <f t="shared" si="2"/>
        <v>46201</v>
      </c>
      <c r="AM4" s="12">
        <f t="shared" si="2"/>
        <v>46202</v>
      </c>
      <c r="AN4" s="12">
        <f t="shared" si="2"/>
        <v>46203</v>
      </c>
      <c r="AO4" s="12">
        <f t="shared" si="2"/>
        <v>46204</v>
      </c>
      <c r="AP4" s="12">
        <f t="shared" si="2"/>
        <v>46205</v>
      </c>
      <c r="AQ4" s="12">
        <f t="shared" si="2"/>
        <v>46206</v>
      </c>
      <c r="AR4" s="12">
        <f t="shared" si="2"/>
        <v>46207</v>
      </c>
      <c r="AS4" s="12">
        <f t="shared" si="2"/>
        <v>46208</v>
      </c>
      <c r="AT4" s="12">
        <f t="shared" si="2"/>
        <v>46209</v>
      </c>
      <c r="AU4" s="12">
        <f t="shared" si="2"/>
        <v>46210</v>
      </c>
      <c r="AV4" s="12">
        <f t="shared" si="2"/>
        <v>46211</v>
      </c>
      <c r="AW4" s="12">
        <f t="shared" si="2"/>
        <v>46212</v>
      </c>
      <c r="AX4" s="12">
        <f t="shared" si="2"/>
        <v>46213</v>
      </c>
      <c r="AY4" s="12">
        <f t="shared" si="2"/>
        <v>46214</v>
      </c>
      <c r="AZ4" s="12">
        <f t="shared" si="2"/>
        <v>46215</v>
      </c>
      <c r="BA4" s="12">
        <f t="shared" si="2"/>
        <v>46216</v>
      </c>
      <c r="BB4" s="12">
        <f t="shared" si="2"/>
        <v>46217</v>
      </c>
      <c r="BC4" s="12">
        <f t="shared" si="2"/>
        <v>46218</v>
      </c>
      <c r="BD4" s="12">
        <f t="shared" si="2"/>
        <v>46219</v>
      </c>
      <c r="BE4" s="12">
        <f t="shared" si="2"/>
        <v>46220</v>
      </c>
      <c r="BF4" s="12">
        <f t="shared" si="2"/>
        <v>46221</v>
      </c>
      <c r="BG4" s="12">
        <f t="shared" si="2"/>
        <v>46222</v>
      </c>
      <c r="BH4" s="12">
        <f t="shared" si="2"/>
        <v>46223</v>
      </c>
      <c r="BI4" s="12">
        <f t="shared" si="2"/>
        <v>46224</v>
      </c>
      <c r="BJ4" s="12">
        <f t="shared" si="2"/>
        <v>46225</v>
      </c>
      <c r="BK4" s="12">
        <f t="shared" si="2"/>
        <v>46226</v>
      </c>
      <c r="BL4" s="12">
        <f t="shared" si="2"/>
        <v>46227</v>
      </c>
      <c r="BM4" s="12">
        <f t="shared" si="2"/>
        <v>46228</v>
      </c>
      <c r="BN4" s="12">
        <f t="shared" si="2"/>
        <v>46229</v>
      </c>
      <c r="BO4" s="12">
        <f t="shared" si="2"/>
        <v>46230</v>
      </c>
      <c r="BP4" s="12">
        <f t="shared" si="2"/>
        <v>46231</v>
      </c>
      <c r="BQ4" s="12">
        <f t="shared" si="2"/>
        <v>46232</v>
      </c>
      <c r="BR4" s="12">
        <f t="shared" si="2"/>
        <v>46233</v>
      </c>
      <c r="BS4" s="12">
        <f t="shared" si="2"/>
        <v>46234</v>
      </c>
      <c r="BT4" s="12">
        <f t="shared" si="2"/>
        <v>46235</v>
      </c>
      <c r="BU4" s="12">
        <f t="shared" si="2"/>
        <v>46236</v>
      </c>
      <c r="BV4" s="12">
        <f t="shared" si="2"/>
        <v>46237</v>
      </c>
      <c r="BW4" s="12">
        <f t="shared" si="2"/>
        <v>46238</v>
      </c>
      <c r="BX4" s="12">
        <f t="shared" si="2"/>
        <v>46239</v>
      </c>
      <c r="BY4" s="12">
        <f t="shared" si="2"/>
        <v>46240</v>
      </c>
      <c r="BZ4" s="12">
        <f t="shared" ref="BZ4:CJ4" si="3">BY4+1</f>
        <v>46241</v>
      </c>
      <c r="CA4" s="12">
        <f t="shared" si="3"/>
        <v>46242</v>
      </c>
      <c r="CB4" s="12">
        <f t="shared" si="3"/>
        <v>46243</v>
      </c>
      <c r="CC4" s="12">
        <f t="shared" si="3"/>
        <v>46244</v>
      </c>
      <c r="CD4" s="12">
        <f t="shared" si="3"/>
        <v>46245</v>
      </c>
      <c r="CE4" s="12">
        <f t="shared" si="3"/>
        <v>46246</v>
      </c>
      <c r="CF4" s="12">
        <f t="shared" si="3"/>
        <v>46247</v>
      </c>
      <c r="CG4" s="12">
        <f t="shared" si="3"/>
        <v>46248</v>
      </c>
      <c r="CH4" s="12">
        <f t="shared" si="3"/>
        <v>46249</v>
      </c>
      <c r="CI4" s="12">
        <f t="shared" si="3"/>
        <v>46250</v>
      </c>
      <c r="CJ4" s="12">
        <f t="shared" si="3"/>
        <v>46251</v>
      </c>
    </row>
    <row r="5" spans="1:88" ht="24" customHeight="1">
      <c r="A5" s="23" t="s">
        <v>12</v>
      </c>
      <c r="B5" s="34"/>
      <c r="C5" s="34"/>
      <c r="D5" s="34"/>
      <c r="E5" s="34"/>
      <c r="F5" s="34"/>
      <c r="G5" s="34"/>
      <c r="H5" s="34"/>
      <c r="I5" s="35"/>
      <c r="J5" s="5"/>
      <c r="K5" s="5"/>
      <c r="O5" s="11"/>
      <c r="P5" s="11"/>
      <c r="Q5" s="11"/>
      <c r="R5" s="11"/>
      <c r="S5" s="11"/>
      <c r="T5" s="11"/>
      <c r="U5" s="11"/>
      <c r="V5" s="11"/>
      <c r="W5" s="11"/>
    </row>
    <row r="6" spans="1:88" ht="22.5" customHeight="1">
      <c r="A6" s="6">
        <v>1.1000000000000001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tr">
        <f>"Week "&amp;INT((J6-DATE(2026,6,2))/7)+1</f>
        <v>Week 1</v>
      </c>
      <c r="H6" s="6" t="str">
        <f>"Week "&amp;INT((K6-DATE(2026,6,2))/7)+1</f>
        <v>Week 1</v>
      </c>
      <c r="I6" s="6">
        <f>K6-J6+1</f>
        <v>1</v>
      </c>
      <c r="J6" s="7">
        <v>46175</v>
      </c>
      <c r="K6" s="7">
        <v>46175</v>
      </c>
      <c r="L6" t="str">
        <f>IF($C6="","",IF(AND($J6&lt;=L$4,$K6&gt;=L$4),"X",""))</f>
        <v>X</v>
      </c>
      <c r="M6" t="str">
        <f t="shared" ref="M6:N6" si="4">IF($C6="","",IF(AND($J6&lt;=M$4,$K6&gt;=M$4),"X",""))</f>
        <v/>
      </c>
      <c r="N6" t="str">
        <f t="shared" si="4"/>
        <v/>
      </c>
    </row>
    <row r="7" spans="1:88" ht="32.25" customHeight="1">
      <c r="A7" s="6">
        <v>1.2</v>
      </c>
      <c r="B7" s="6" t="s">
        <v>13</v>
      </c>
      <c r="C7" s="6" t="s">
        <v>18</v>
      </c>
      <c r="D7" s="6" t="s">
        <v>19</v>
      </c>
      <c r="E7" s="6" t="s">
        <v>20</v>
      </c>
      <c r="F7" s="6">
        <v>1.1000000000000001</v>
      </c>
      <c r="G7" s="8" t="str">
        <f>"Week "&amp;INT((J7-DATE(2026,6,2))/7)+1</f>
        <v>Week 1</v>
      </c>
      <c r="H7" s="6" t="str">
        <f t="shared" ref="H7:H31" si="5">"Week "&amp;INT((K7-DATE(2026,6,2))/7)+1</f>
        <v>Week 1</v>
      </c>
      <c r="I7" s="6">
        <f t="shared" ref="I7:I31" si="6">K7-J7+1</f>
        <v>1</v>
      </c>
      <c r="J7" s="9">
        <v>46175</v>
      </c>
      <c r="K7" s="9">
        <v>46175</v>
      </c>
      <c r="L7" t="str">
        <f t="shared" ref="L7:L8" si="7">IF($C7="","",IF(AND($J7&lt;=L$4,$K7&gt;=L$4),"X",""))</f>
        <v>X</v>
      </c>
    </row>
    <row r="8" spans="1:88" ht="33.75" customHeight="1">
      <c r="A8" s="6">
        <v>1.3</v>
      </c>
      <c r="B8" s="6" t="s">
        <v>13</v>
      </c>
      <c r="C8" s="6" t="s">
        <v>21</v>
      </c>
      <c r="D8" s="6" t="s">
        <v>22</v>
      </c>
      <c r="E8" s="6" t="s">
        <v>16</v>
      </c>
      <c r="F8" s="6">
        <v>1.2</v>
      </c>
      <c r="G8" s="8" t="str">
        <f>"Week "&amp;INT((J8-DATE(2026,6,2))/7)+1</f>
        <v>Week 1</v>
      </c>
      <c r="H8" s="6" t="str">
        <f t="shared" si="5"/>
        <v>Week 1</v>
      </c>
      <c r="I8" s="6">
        <f t="shared" si="6"/>
        <v>1</v>
      </c>
      <c r="J8" s="9">
        <v>46175</v>
      </c>
      <c r="K8" s="9">
        <v>46175</v>
      </c>
      <c r="L8" t="str">
        <f t="shared" si="7"/>
        <v>X</v>
      </c>
      <c r="M8" t="str">
        <f>IF($C8="","",IF(AND($J8&lt;=M$4,$K8&gt;=M$4),"X",""))</f>
        <v/>
      </c>
    </row>
    <row r="9" spans="1:88" s="2" customFormat="1" ht="43.5" customHeight="1">
      <c r="A9" s="23" t="s">
        <v>23</v>
      </c>
      <c r="B9" s="26"/>
      <c r="C9" s="26"/>
      <c r="D9" s="26"/>
      <c r="E9" s="26"/>
      <c r="F9" s="26"/>
      <c r="G9" s="26"/>
      <c r="H9" s="26"/>
      <c r="I9" s="26"/>
      <c r="J9" s="26"/>
      <c r="K9" s="27"/>
    </row>
    <row r="10" spans="1:88" ht="29.25" customHeight="1">
      <c r="A10" s="6">
        <v>2.1</v>
      </c>
      <c r="B10" s="6" t="s">
        <v>24</v>
      </c>
      <c r="C10" s="6" t="s">
        <v>25</v>
      </c>
      <c r="D10" s="6" t="s">
        <v>26</v>
      </c>
      <c r="E10" s="6" t="s">
        <v>27</v>
      </c>
      <c r="F10" s="6">
        <v>1.3</v>
      </c>
      <c r="G10" s="8" t="str">
        <f>"Week "&amp;INT((J10-DATE(2026,6,2))/7)+1</f>
        <v>Week 1</v>
      </c>
      <c r="H10" s="6" t="str">
        <f t="shared" si="5"/>
        <v>Week 1</v>
      </c>
      <c r="I10" s="6">
        <f t="shared" si="6"/>
        <v>7</v>
      </c>
      <c r="J10" s="9">
        <v>46175</v>
      </c>
      <c r="K10" s="9">
        <v>46181</v>
      </c>
      <c r="L10" t="str">
        <f>IF($C10="","",IF(AND($J10&lt;=L4,$K10&gt;=L4),"X",""))</f>
        <v>X</v>
      </c>
      <c r="M10" t="str">
        <f t="shared" ref="M10:R10" si="8">IF($C10="","",IF(AND($J10&lt;=M$4,$K10&gt;=M$4),"X",""))</f>
        <v>X</v>
      </c>
      <c r="N10" t="str">
        <f t="shared" si="8"/>
        <v>X</v>
      </c>
      <c r="O10" t="str">
        <f t="shared" si="8"/>
        <v>X</v>
      </c>
      <c r="P10" t="str">
        <f>IF($C10="","",IF(AND($J10&lt;=P$4,$K10&gt;=P$4),"X",""))</f>
        <v>X</v>
      </c>
      <c r="Q10" t="str">
        <f t="shared" si="8"/>
        <v>X</v>
      </c>
      <c r="R10" t="str">
        <f t="shared" si="8"/>
        <v>X</v>
      </c>
    </row>
    <row r="11" spans="1:88" ht="27.75" customHeight="1">
      <c r="A11" s="6">
        <v>2.2000000000000002</v>
      </c>
      <c r="B11" s="6" t="s">
        <v>24</v>
      </c>
      <c r="C11" s="6" t="s">
        <v>28</v>
      </c>
      <c r="D11" s="6" t="s">
        <v>29</v>
      </c>
      <c r="E11" s="6" t="s">
        <v>30</v>
      </c>
      <c r="F11" s="6">
        <v>2.1</v>
      </c>
      <c r="G11" s="8" t="str">
        <f t="shared" ref="G11" si="9">"Week "&amp;INT((J11-DATE(2026,6,2))/7)+1</f>
        <v>Week 2</v>
      </c>
      <c r="H11" s="6" t="str">
        <f t="shared" si="5"/>
        <v>Week 2</v>
      </c>
      <c r="I11" s="6">
        <f t="shared" si="6"/>
        <v>7</v>
      </c>
      <c r="J11" s="7">
        <v>46182</v>
      </c>
      <c r="K11" s="7">
        <v>46188</v>
      </c>
      <c r="L11" t="str">
        <f>IF($C11="","",IF(AND($J11&lt;=L$4,$K11&gt;=L$4),"X",""))</f>
        <v/>
      </c>
      <c r="M11" t="str">
        <f t="shared" ref="M10:Y12" si="10">IF($C11="","",IF(AND($J11&lt;=M$4,$K11&gt;=M$4),"X",""))</f>
        <v/>
      </c>
      <c r="N11" t="str">
        <f t="shared" si="10"/>
        <v/>
      </c>
      <c r="O11" t="str">
        <f t="shared" si="10"/>
        <v/>
      </c>
      <c r="P11" t="str">
        <f t="shared" si="10"/>
        <v/>
      </c>
      <c r="Q11" t="str">
        <f t="shared" si="10"/>
        <v/>
      </c>
      <c r="R11" t="str">
        <f t="shared" si="10"/>
        <v/>
      </c>
      <c r="S11" t="str">
        <f t="shared" si="10"/>
        <v>X</v>
      </c>
      <c r="T11" t="str">
        <f t="shared" si="10"/>
        <v>X</v>
      </c>
      <c r="U11" t="str">
        <f t="shared" si="10"/>
        <v>X</v>
      </c>
      <c r="V11" t="str">
        <f t="shared" si="10"/>
        <v>X</v>
      </c>
      <c r="W11" t="str">
        <f t="shared" si="10"/>
        <v>X</v>
      </c>
      <c r="X11" t="str">
        <f t="shared" si="10"/>
        <v>X</v>
      </c>
      <c r="Y11" t="str">
        <f t="shared" si="10"/>
        <v>X</v>
      </c>
    </row>
    <row r="12" spans="1:88" ht="26.25" customHeight="1">
      <c r="A12" s="6">
        <v>2.2999999999999998</v>
      </c>
      <c r="B12" s="6" t="s">
        <v>24</v>
      </c>
      <c r="C12" s="6" t="s">
        <v>31</v>
      </c>
      <c r="D12" s="6" t="s">
        <v>32</v>
      </c>
      <c r="E12" s="6" t="s">
        <v>16</v>
      </c>
      <c r="F12" s="6">
        <v>2.2000000000000002</v>
      </c>
      <c r="G12" s="8" t="str">
        <f>"Week "&amp;INT((J12-DATE(2026,6,2))/7)+1</f>
        <v>Week 2</v>
      </c>
      <c r="H12" s="6" t="str">
        <f t="shared" si="5"/>
        <v>Week 2</v>
      </c>
      <c r="I12" s="6">
        <f t="shared" si="6"/>
        <v>7</v>
      </c>
      <c r="J12" s="7">
        <v>46182</v>
      </c>
      <c r="K12" s="7">
        <v>46188</v>
      </c>
      <c r="L12" t="str">
        <f>IF($C12="","",IF(AND($J12&lt;=L$4,$K12&gt;=L$4),"X",""))</f>
        <v/>
      </c>
      <c r="M12" t="str">
        <f t="shared" si="10"/>
        <v/>
      </c>
      <c r="N12" t="str">
        <f t="shared" si="10"/>
        <v/>
      </c>
      <c r="O12" t="str">
        <f t="shared" si="10"/>
        <v/>
      </c>
      <c r="P12" t="str">
        <f t="shared" si="10"/>
        <v/>
      </c>
      <c r="Q12" t="str">
        <f t="shared" si="10"/>
        <v/>
      </c>
      <c r="R12" t="str">
        <f t="shared" si="10"/>
        <v/>
      </c>
      <c r="S12" t="str">
        <f t="shared" si="10"/>
        <v>X</v>
      </c>
      <c r="T12" t="str">
        <f t="shared" si="10"/>
        <v>X</v>
      </c>
      <c r="U12" t="str">
        <f t="shared" si="10"/>
        <v>X</v>
      </c>
      <c r="V12" t="str">
        <f t="shared" si="10"/>
        <v>X</v>
      </c>
      <c r="W12" t="str">
        <f t="shared" si="10"/>
        <v>X</v>
      </c>
      <c r="X12" t="str">
        <f t="shared" si="10"/>
        <v>X</v>
      </c>
      <c r="Y12" t="str">
        <f t="shared" si="10"/>
        <v>X</v>
      </c>
    </row>
    <row r="13" spans="1:88" ht="25.5" customHeight="1">
      <c r="A13" s="23" t="s">
        <v>33</v>
      </c>
      <c r="B13" s="24"/>
      <c r="C13" s="24"/>
      <c r="D13" s="24"/>
      <c r="E13" s="24"/>
      <c r="F13" s="24"/>
      <c r="G13" s="24"/>
      <c r="H13" s="24"/>
      <c r="I13" s="24"/>
      <c r="J13" s="24"/>
      <c r="K13" s="25"/>
    </row>
    <row r="14" spans="1:88" ht="34.5" customHeight="1">
      <c r="A14" s="6">
        <v>3.1</v>
      </c>
      <c r="B14" s="6" t="s">
        <v>34</v>
      </c>
      <c r="C14" s="6" t="s">
        <v>35</v>
      </c>
      <c r="D14" s="6" t="s">
        <v>36</v>
      </c>
      <c r="E14" s="6" t="s">
        <v>37</v>
      </c>
      <c r="F14" s="6">
        <v>2.2999999999999998</v>
      </c>
      <c r="G14" s="6" t="str">
        <f>"Week "&amp;INT((J14-DATE(2026,6,2))/7)+1</f>
        <v>Week 3</v>
      </c>
      <c r="H14" s="6" t="str">
        <f t="shared" si="5"/>
        <v>Week 3</v>
      </c>
      <c r="I14" s="6">
        <f t="shared" si="6"/>
        <v>7</v>
      </c>
      <c r="J14" s="7">
        <v>46189</v>
      </c>
      <c r="K14" s="7">
        <v>46195</v>
      </c>
      <c r="L14" t="str">
        <f>IF($C14="","",IF(AND($J14&lt;=L$4,$K14&gt;=L$4),"X",""))</f>
        <v/>
      </c>
      <c r="M14" t="str">
        <f t="shared" ref="M14:AF15" si="11">IF($C14="","",IF(AND($J14&lt;=M$4,$K14&gt;=M$4),"X",""))</f>
        <v/>
      </c>
      <c r="N14" t="str">
        <f t="shared" si="11"/>
        <v/>
      </c>
      <c r="O14" t="str">
        <f t="shared" si="11"/>
        <v/>
      </c>
      <c r="P14" t="str">
        <f t="shared" si="11"/>
        <v/>
      </c>
      <c r="Q14" t="str">
        <f t="shared" si="11"/>
        <v/>
      </c>
      <c r="R14" t="str">
        <f t="shared" si="11"/>
        <v/>
      </c>
      <c r="S14" t="str">
        <f t="shared" si="11"/>
        <v/>
      </c>
      <c r="T14" t="str">
        <f t="shared" si="11"/>
        <v/>
      </c>
      <c r="U14" t="str">
        <f t="shared" si="11"/>
        <v/>
      </c>
      <c r="V14" t="str">
        <f t="shared" si="11"/>
        <v/>
      </c>
      <c r="W14" t="str">
        <f t="shared" si="11"/>
        <v/>
      </c>
      <c r="X14" t="str">
        <f t="shared" si="11"/>
        <v/>
      </c>
      <c r="Y14" t="str">
        <f t="shared" si="11"/>
        <v/>
      </c>
      <c r="Z14" t="str">
        <f>IF($C14="","",IF(AND($J14&lt;=Z$4,$K14&gt;=Z$4),"X",""))</f>
        <v>X</v>
      </c>
      <c r="AA14" t="str">
        <f t="shared" ref="AA14:AF15" si="12">IF($C14="","",IF(AND($J14&lt;=AA$4,$K14&gt;=AA$4),"X",""))</f>
        <v>X</v>
      </c>
      <c r="AB14" t="str">
        <f t="shared" si="12"/>
        <v>X</v>
      </c>
      <c r="AC14" t="str">
        <f t="shared" si="12"/>
        <v>X</v>
      </c>
      <c r="AD14" t="str">
        <f t="shared" si="12"/>
        <v>X</v>
      </c>
      <c r="AE14" t="str">
        <f t="shared" si="12"/>
        <v>X</v>
      </c>
      <c r="AF14" t="str">
        <f t="shared" si="12"/>
        <v>X</v>
      </c>
    </row>
    <row r="15" spans="1:88" ht="36.75" customHeight="1">
      <c r="A15" s="6">
        <v>3.2</v>
      </c>
      <c r="B15" s="6" t="s">
        <v>34</v>
      </c>
      <c r="C15" s="6" t="s">
        <v>38</v>
      </c>
      <c r="D15" s="6" t="s">
        <v>39</v>
      </c>
      <c r="E15" s="6" t="s">
        <v>40</v>
      </c>
      <c r="F15" s="6">
        <v>3.1</v>
      </c>
      <c r="G15" s="6" t="str">
        <f t="shared" ref="G15:G31" si="13">"Week "&amp;INT((J15-DATE(2026,6,2))/7)+1</f>
        <v>Week 3</v>
      </c>
      <c r="H15" s="6" t="str">
        <f t="shared" si="5"/>
        <v>Week 3</v>
      </c>
      <c r="I15" s="6">
        <f t="shared" si="6"/>
        <v>7</v>
      </c>
      <c r="J15" s="7">
        <v>46189</v>
      </c>
      <c r="K15" s="7">
        <v>46195</v>
      </c>
      <c r="L15" t="str">
        <f>IF($C15="","",IF(AND($J15&lt;=L$4,$K15&gt;=L$4),"X",""))</f>
        <v/>
      </c>
      <c r="M15" t="str">
        <f t="shared" si="11"/>
        <v/>
      </c>
      <c r="N15" t="str">
        <f t="shared" si="11"/>
        <v/>
      </c>
      <c r="O15" t="str">
        <f t="shared" si="11"/>
        <v/>
      </c>
      <c r="P15" t="str">
        <f t="shared" si="11"/>
        <v/>
      </c>
      <c r="Q15" t="str">
        <f t="shared" si="11"/>
        <v/>
      </c>
      <c r="R15" t="str">
        <f t="shared" si="11"/>
        <v/>
      </c>
      <c r="S15" t="str">
        <f t="shared" si="11"/>
        <v/>
      </c>
      <c r="T15" t="str">
        <f t="shared" si="11"/>
        <v/>
      </c>
      <c r="U15" t="str">
        <f t="shared" si="11"/>
        <v/>
      </c>
      <c r="V15" t="str">
        <f t="shared" si="11"/>
        <v/>
      </c>
      <c r="W15" t="str">
        <f t="shared" si="11"/>
        <v/>
      </c>
      <c r="X15" t="str">
        <f t="shared" si="11"/>
        <v/>
      </c>
      <c r="Y15" t="str">
        <f t="shared" si="11"/>
        <v/>
      </c>
      <c r="Z15" t="str">
        <f>IF($C15="","",IF(AND($J15&lt;=Z$4,$K15&gt;=Z$4),"X",""))</f>
        <v>X</v>
      </c>
      <c r="AA15" t="str">
        <f t="shared" si="12"/>
        <v>X</v>
      </c>
      <c r="AB15" t="str">
        <f t="shared" si="12"/>
        <v>X</v>
      </c>
      <c r="AC15" t="str">
        <f t="shared" si="12"/>
        <v>X</v>
      </c>
      <c r="AD15" t="str">
        <f t="shared" si="12"/>
        <v>X</v>
      </c>
      <c r="AE15" t="str">
        <f t="shared" si="12"/>
        <v>X</v>
      </c>
      <c r="AF15" t="str">
        <f t="shared" si="12"/>
        <v>X</v>
      </c>
    </row>
    <row r="16" spans="1:88" ht="24" customHeight="1">
      <c r="A16" s="23" t="s">
        <v>41</v>
      </c>
      <c r="B16" s="24"/>
      <c r="C16" s="24"/>
      <c r="D16" s="24"/>
      <c r="E16" s="24"/>
      <c r="F16" s="24"/>
      <c r="G16" s="24"/>
      <c r="H16" s="24"/>
      <c r="I16" s="24"/>
      <c r="J16" s="24"/>
      <c r="K16" s="25"/>
    </row>
    <row r="17" spans="1:88" ht="26.25" customHeight="1">
      <c r="A17" s="6">
        <v>4.0999999999999996</v>
      </c>
      <c r="B17" s="6" t="s">
        <v>42</v>
      </c>
      <c r="C17" s="6" t="s">
        <v>43</v>
      </c>
      <c r="D17" s="6" t="s">
        <v>44</v>
      </c>
      <c r="E17" s="6" t="s">
        <v>45</v>
      </c>
      <c r="F17" s="6">
        <v>3.2</v>
      </c>
      <c r="G17" s="6" t="str">
        <f t="shared" si="13"/>
        <v>Week 4</v>
      </c>
      <c r="H17" s="6" t="str">
        <f t="shared" si="5"/>
        <v>Week 4</v>
      </c>
      <c r="I17" s="6">
        <f t="shared" si="6"/>
        <v>7</v>
      </c>
      <c r="J17" s="7">
        <v>46196</v>
      </c>
      <c r="K17" s="7">
        <v>46202</v>
      </c>
      <c r="L17" t="str">
        <f>IF($C17="","",IF(AND($J17&lt;=L$4,$K17&gt;=L$4),"X",""))</f>
        <v/>
      </c>
      <c r="M17" t="str">
        <f t="shared" ref="M17:AO22" si="14">IF($C17="","",IF(AND($J17&lt;=M$4,$K17&gt;=M$4),"X",""))</f>
        <v/>
      </c>
      <c r="N17" t="str">
        <f t="shared" si="14"/>
        <v/>
      </c>
      <c r="O17" t="str">
        <f t="shared" si="14"/>
        <v/>
      </c>
      <c r="P17" t="str">
        <f t="shared" si="14"/>
        <v/>
      </c>
      <c r="Q17" t="str">
        <f t="shared" si="14"/>
        <v/>
      </c>
      <c r="R17" t="str">
        <f t="shared" si="14"/>
        <v/>
      </c>
      <c r="S17" t="str">
        <f t="shared" si="14"/>
        <v/>
      </c>
      <c r="T17" t="str">
        <f t="shared" si="14"/>
        <v/>
      </c>
      <c r="U17" t="str">
        <f t="shared" si="14"/>
        <v/>
      </c>
      <c r="V17" t="str">
        <f t="shared" si="14"/>
        <v/>
      </c>
      <c r="W17" t="str">
        <f t="shared" si="14"/>
        <v/>
      </c>
      <c r="X17" t="str">
        <f t="shared" si="14"/>
        <v/>
      </c>
      <c r="Y17" t="str">
        <f t="shared" si="14"/>
        <v/>
      </c>
      <c r="Z17" t="str">
        <f t="shared" si="14"/>
        <v/>
      </c>
      <c r="AA17" t="str">
        <f t="shared" si="14"/>
        <v/>
      </c>
      <c r="AB17" t="str">
        <f t="shared" si="14"/>
        <v/>
      </c>
      <c r="AC17" t="str">
        <f t="shared" si="14"/>
        <v/>
      </c>
      <c r="AD17" t="str">
        <f t="shared" si="14"/>
        <v/>
      </c>
      <c r="AE17" t="str">
        <f t="shared" si="14"/>
        <v/>
      </c>
      <c r="AF17" t="str">
        <f t="shared" si="14"/>
        <v/>
      </c>
      <c r="AG17" t="str">
        <f t="shared" si="14"/>
        <v>X</v>
      </c>
      <c r="AH17" t="str">
        <f t="shared" si="14"/>
        <v>X</v>
      </c>
      <c r="AI17" t="str">
        <f t="shared" si="14"/>
        <v>X</v>
      </c>
      <c r="AJ17" t="str">
        <f t="shared" si="14"/>
        <v>X</v>
      </c>
      <c r="AK17" t="str">
        <f t="shared" si="14"/>
        <v>X</v>
      </c>
      <c r="AL17" t="str">
        <f t="shared" si="14"/>
        <v>X</v>
      </c>
      <c r="AM17" t="str">
        <f t="shared" si="14"/>
        <v>X</v>
      </c>
    </row>
    <row r="18" spans="1:88" ht="37.5" customHeight="1">
      <c r="A18" s="6">
        <v>4.2</v>
      </c>
      <c r="B18" s="6" t="s">
        <v>42</v>
      </c>
      <c r="C18" s="6" t="s">
        <v>46</v>
      </c>
      <c r="D18" s="6" t="s">
        <v>47</v>
      </c>
      <c r="E18" s="6" t="s">
        <v>48</v>
      </c>
      <c r="F18" s="6">
        <v>4.0999999999999996</v>
      </c>
      <c r="G18" s="6" t="str">
        <f t="shared" si="13"/>
        <v>Week 4</v>
      </c>
      <c r="H18" s="6" t="str">
        <f t="shared" si="5"/>
        <v>Week 5</v>
      </c>
      <c r="I18" s="6">
        <f t="shared" si="6"/>
        <v>14</v>
      </c>
      <c r="J18" s="7">
        <v>46196</v>
      </c>
      <c r="K18" s="7">
        <v>46209</v>
      </c>
      <c r="L18" t="str">
        <f>IF($C18="","",IF(AND($J18&lt;=L$4,$K18&gt;=L$4),"X",""))</f>
        <v/>
      </c>
      <c r="M18" t="str">
        <f t="shared" si="14"/>
        <v/>
      </c>
      <c r="N18" t="str">
        <f t="shared" si="14"/>
        <v/>
      </c>
      <c r="O18" t="str">
        <f t="shared" si="14"/>
        <v/>
      </c>
      <c r="P18" t="str">
        <f t="shared" si="14"/>
        <v/>
      </c>
      <c r="Q18" t="str">
        <f t="shared" si="14"/>
        <v/>
      </c>
      <c r="R18" t="str">
        <f t="shared" si="14"/>
        <v/>
      </c>
      <c r="S18" t="str">
        <f t="shared" si="14"/>
        <v/>
      </c>
      <c r="T18" t="str">
        <f t="shared" si="14"/>
        <v/>
      </c>
      <c r="U18" t="str">
        <f t="shared" si="14"/>
        <v/>
      </c>
      <c r="V18" t="str">
        <f t="shared" si="14"/>
        <v/>
      </c>
      <c r="W18" t="str">
        <f t="shared" si="14"/>
        <v/>
      </c>
      <c r="X18" t="str">
        <f t="shared" si="14"/>
        <v/>
      </c>
      <c r="Y18" t="str">
        <f t="shared" si="14"/>
        <v/>
      </c>
      <c r="Z18" t="str">
        <f t="shared" si="14"/>
        <v/>
      </c>
      <c r="AA18" t="str">
        <f t="shared" si="14"/>
        <v/>
      </c>
      <c r="AB18" t="str">
        <f t="shared" si="14"/>
        <v/>
      </c>
      <c r="AC18" t="str">
        <f t="shared" si="14"/>
        <v/>
      </c>
      <c r="AD18" t="str">
        <f t="shared" si="14"/>
        <v/>
      </c>
      <c r="AE18" t="str">
        <f t="shared" si="14"/>
        <v/>
      </c>
      <c r="AF18" t="str">
        <f t="shared" si="14"/>
        <v/>
      </c>
      <c r="AG18" t="str">
        <f t="shared" si="14"/>
        <v>X</v>
      </c>
      <c r="AH18" t="str">
        <f t="shared" si="14"/>
        <v>X</v>
      </c>
      <c r="AI18" t="str">
        <f t="shared" si="14"/>
        <v>X</v>
      </c>
      <c r="AJ18" t="str">
        <f t="shared" si="14"/>
        <v>X</v>
      </c>
      <c r="AK18" t="str">
        <f t="shared" si="14"/>
        <v>X</v>
      </c>
      <c r="AL18" t="str">
        <f t="shared" si="14"/>
        <v>X</v>
      </c>
      <c r="AM18" t="str">
        <f t="shared" si="14"/>
        <v>X</v>
      </c>
      <c r="AN18" t="str">
        <f t="shared" si="14"/>
        <v>X</v>
      </c>
      <c r="AO18" t="str">
        <f t="shared" si="14"/>
        <v>X</v>
      </c>
      <c r="AP18" t="str">
        <f t="shared" ref="AP18:BE22" si="15">IF($C18="","",IF(AND($J18&lt;=AP$4,$K18&gt;=AP$4),"X",""))</f>
        <v>X</v>
      </c>
      <c r="AQ18" t="str">
        <f t="shared" si="15"/>
        <v>X</v>
      </c>
      <c r="AR18" t="str">
        <f t="shared" si="15"/>
        <v>X</v>
      </c>
      <c r="AS18" t="str">
        <f t="shared" si="15"/>
        <v>X</v>
      </c>
      <c r="AT18" t="str">
        <f t="shared" si="15"/>
        <v>X</v>
      </c>
    </row>
    <row r="19" spans="1:88" ht="34.5" customHeight="1">
      <c r="A19" s="6">
        <v>4.3</v>
      </c>
      <c r="B19" s="6" t="s">
        <v>42</v>
      </c>
      <c r="C19" s="6" t="s">
        <v>49</v>
      </c>
      <c r="D19" s="6" t="s">
        <v>50</v>
      </c>
      <c r="E19" s="6" t="s">
        <v>48</v>
      </c>
      <c r="F19" s="6">
        <v>4.2</v>
      </c>
      <c r="G19" s="6" t="str">
        <f t="shared" si="13"/>
        <v>Week 5</v>
      </c>
      <c r="H19" s="6" t="str">
        <f t="shared" si="5"/>
        <v>Week 6</v>
      </c>
      <c r="I19" s="6">
        <f t="shared" si="6"/>
        <v>14</v>
      </c>
      <c r="J19" s="7">
        <v>46203</v>
      </c>
      <c r="K19" s="7">
        <v>46216</v>
      </c>
      <c r="L19" t="str">
        <f>IF($C19="","",IF(AND($J19&lt;=L$4,$K19&gt;=L$4),"X",""))</f>
        <v/>
      </c>
      <c r="M19" t="str">
        <f t="shared" si="14"/>
        <v/>
      </c>
      <c r="N19" t="str">
        <f t="shared" si="14"/>
        <v/>
      </c>
      <c r="O19" t="str">
        <f t="shared" si="14"/>
        <v/>
      </c>
      <c r="P19" t="str">
        <f t="shared" si="14"/>
        <v/>
      </c>
      <c r="Q19" t="str">
        <f t="shared" si="14"/>
        <v/>
      </c>
      <c r="R19" t="str">
        <f t="shared" si="14"/>
        <v/>
      </c>
      <c r="S19" t="str">
        <f t="shared" si="14"/>
        <v/>
      </c>
      <c r="T19" t="str">
        <f t="shared" si="14"/>
        <v/>
      </c>
      <c r="U19" t="str">
        <f t="shared" si="14"/>
        <v/>
      </c>
      <c r="V19" t="str">
        <f t="shared" si="14"/>
        <v/>
      </c>
      <c r="W19" t="str">
        <f t="shared" si="14"/>
        <v/>
      </c>
      <c r="X19" t="str">
        <f t="shared" si="14"/>
        <v/>
      </c>
      <c r="Y19" t="str">
        <f t="shared" si="14"/>
        <v/>
      </c>
      <c r="Z19" t="str">
        <f t="shared" si="14"/>
        <v/>
      </c>
      <c r="AA19" t="str">
        <f t="shared" si="14"/>
        <v/>
      </c>
      <c r="AB19" t="str">
        <f t="shared" si="14"/>
        <v/>
      </c>
      <c r="AC19" t="str">
        <f t="shared" si="14"/>
        <v/>
      </c>
      <c r="AD19" t="str">
        <f t="shared" si="14"/>
        <v/>
      </c>
      <c r="AE19" t="str">
        <f t="shared" si="14"/>
        <v/>
      </c>
      <c r="AF19" t="str">
        <f t="shared" si="14"/>
        <v/>
      </c>
      <c r="AG19" t="str">
        <f t="shared" si="14"/>
        <v/>
      </c>
      <c r="AH19" t="str">
        <f t="shared" si="14"/>
        <v/>
      </c>
      <c r="AI19" t="str">
        <f t="shared" si="14"/>
        <v/>
      </c>
      <c r="AJ19" t="str">
        <f t="shared" si="14"/>
        <v/>
      </c>
      <c r="AK19" t="str">
        <f t="shared" si="14"/>
        <v/>
      </c>
      <c r="AL19" t="str">
        <f t="shared" si="14"/>
        <v/>
      </c>
      <c r="AM19" t="str">
        <f t="shared" si="14"/>
        <v/>
      </c>
      <c r="AN19" t="str">
        <f t="shared" si="14"/>
        <v>X</v>
      </c>
      <c r="AO19" t="str">
        <f t="shared" si="14"/>
        <v>X</v>
      </c>
      <c r="AP19" t="str">
        <f t="shared" si="15"/>
        <v>X</v>
      </c>
      <c r="AQ19" t="str">
        <f t="shared" si="15"/>
        <v>X</v>
      </c>
      <c r="AR19" t="str">
        <f t="shared" si="15"/>
        <v>X</v>
      </c>
      <c r="AS19" t="str">
        <f t="shared" si="15"/>
        <v>X</v>
      </c>
      <c r="AT19" t="str">
        <f t="shared" si="15"/>
        <v>X</v>
      </c>
      <c r="AU19" t="str">
        <f t="shared" si="15"/>
        <v>X</v>
      </c>
      <c r="AV19" t="str">
        <f t="shared" si="15"/>
        <v>X</v>
      </c>
      <c r="AW19" t="str">
        <f t="shared" si="15"/>
        <v>X</v>
      </c>
      <c r="AX19" t="str">
        <f t="shared" si="15"/>
        <v>X</v>
      </c>
      <c r="AY19" t="str">
        <f t="shared" si="15"/>
        <v>X</v>
      </c>
      <c r="AZ19" t="str">
        <f t="shared" si="15"/>
        <v>X</v>
      </c>
      <c r="BA19" t="str">
        <f t="shared" si="15"/>
        <v>X</v>
      </c>
    </row>
    <row r="20" spans="1:88" ht="27" customHeight="1">
      <c r="A20" s="6">
        <v>4.4000000000000004</v>
      </c>
      <c r="B20" s="6" t="s">
        <v>42</v>
      </c>
      <c r="C20" s="6" t="s">
        <v>51</v>
      </c>
      <c r="D20" s="6" t="s">
        <v>52</v>
      </c>
      <c r="E20" s="6" t="s">
        <v>53</v>
      </c>
      <c r="F20" s="6">
        <v>4.3</v>
      </c>
      <c r="G20" s="6" t="str">
        <f t="shared" si="13"/>
        <v>Week 6</v>
      </c>
      <c r="H20" s="6" t="str">
        <f t="shared" si="5"/>
        <v>Week 7</v>
      </c>
      <c r="I20" s="6">
        <f t="shared" si="6"/>
        <v>14</v>
      </c>
      <c r="J20" s="7">
        <v>46210</v>
      </c>
      <c r="K20" s="7">
        <v>46223</v>
      </c>
      <c r="L20" t="str">
        <f>IF($C20="","",IF(AND($J20&lt;=L$4,$K20&gt;=L$4),"X",""))</f>
        <v/>
      </c>
      <c r="M20" t="str">
        <f t="shared" si="14"/>
        <v/>
      </c>
      <c r="N20" t="str">
        <f t="shared" si="14"/>
        <v/>
      </c>
      <c r="O20" t="str">
        <f t="shared" si="14"/>
        <v/>
      </c>
      <c r="P20" t="str">
        <f t="shared" si="14"/>
        <v/>
      </c>
      <c r="Q20" t="str">
        <f t="shared" si="14"/>
        <v/>
      </c>
      <c r="R20" t="str">
        <f t="shared" si="14"/>
        <v/>
      </c>
      <c r="S20" t="str">
        <f t="shared" si="14"/>
        <v/>
      </c>
      <c r="T20" t="str">
        <f t="shared" si="14"/>
        <v/>
      </c>
      <c r="U20" t="str">
        <f t="shared" si="14"/>
        <v/>
      </c>
      <c r="V20" t="str">
        <f t="shared" si="14"/>
        <v/>
      </c>
      <c r="W20" t="str">
        <f t="shared" si="14"/>
        <v/>
      </c>
      <c r="X20" t="str">
        <f t="shared" si="14"/>
        <v/>
      </c>
      <c r="Y20" t="str">
        <f t="shared" si="14"/>
        <v/>
      </c>
      <c r="Z20" t="str">
        <f t="shared" si="14"/>
        <v/>
      </c>
      <c r="AA20" t="str">
        <f t="shared" si="14"/>
        <v/>
      </c>
      <c r="AB20" t="str">
        <f t="shared" si="14"/>
        <v/>
      </c>
      <c r="AC20" t="str">
        <f t="shared" si="14"/>
        <v/>
      </c>
      <c r="AD20" t="str">
        <f t="shared" si="14"/>
        <v/>
      </c>
      <c r="AE20" t="str">
        <f t="shared" si="14"/>
        <v/>
      </c>
      <c r="AF20" t="str">
        <f t="shared" si="14"/>
        <v/>
      </c>
      <c r="AG20" t="str">
        <f t="shared" si="14"/>
        <v/>
      </c>
      <c r="AH20" t="str">
        <f t="shared" si="14"/>
        <v/>
      </c>
      <c r="AI20" t="str">
        <f t="shared" si="14"/>
        <v/>
      </c>
      <c r="AJ20" t="str">
        <f t="shared" si="14"/>
        <v/>
      </c>
      <c r="AK20" t="str">
        <f t="shared" si="14"/>
        <v/>
      </c>
      <c r="AL20" t="str">
        <f t="shared" si="14"/>
        <v/>
      </c>
      <c r="AM20" t="str">
        <f t="shared" si="14"/>
        <v/>
      </c>
      <c r="AN20" t="str">
        <f t="shared" ref="AN18:AX22" si="16">IF($C20="","",IF(AND($J20&lt;=AN$4,$K20&gt;=AN$4),"X",""))</f>
        <v/>
      </c>
      <c r="AO20" t="str">
        <f t="shared" si="16"/>
        <v/>
      </c>
      <c r="AP20" t="str">
        <f t="shared" si="16"/>
        <v/>
      </c>
      <c r="AQ20" t="str">
        <f t="shared" si="16"/>
        <v/>
      </c>
      <c r="AR20" t="str">
        <f t="shared" si="16"/>
        <v/>
      </c>
      <c r="AS20" t="str">
        <f t="shared" si="16"/>
        <v/>
      </c>
      <c r="AT20" t="str">
        <f t="shared" si="16"/>
        <v/>
      </c>
      <c r="AU20" t="str">
        <f t="shared" si="15"/>
        <v>X</v>
      </c>
      <c r="AV20" t="str">
        <f t="shared" si="15"/>
        <v>X</v>
      </c>
      <c r="AW20" t="str">
        <f t="shared" si="15"/>
        <v>X</v>
      </c>
      <c r="AX20" t="str">
        <f t="shared" si="15"/>
        <v>X</v>
      </c>
      <c r="AY20" t="str">
        <f t="shared" si="15"/>
        <v>X</v>
      </c>
      <c r="AZ20" t="str">
        <f t="shared" si="15"/>
        <v>X</v>
      </c>
      <c r="BA20" t="str">
        <f t="shared" si="15"/>
        <v>X</v>
      </c>
      <c r="BB20" t="str">
        <f t="shared" si="15"/>
        <v>X</v>
      </c>
      <c r="BC20" t="str">
        <f t="shared" si="15"/>
        <v>X</v>
      </c>
      <c r="BD20" t="str">
        <f t="shared" si="15"/>
        <v>X</v>
      </c>
      <c r="BE20" t="str">
        <f t="shared" si="15"/>
        <v>X</v>
      </c>
      <c r="BF20" t="str">
        <f t="shared" ref="BC20:BO22" si="17">IF($C20="","",IF(AND($J20&lt;=BF$4,$K20&gt;=BF$4),"X",""))</f>
        <v>X</v>
      </c>
      <c r="BG20" t="str">
        <f t="shared" si="17"/>
        <v>X</v>
      </c>
      <c r="BH20" t="str">
        <f t="shared" si="17"/>
        <v>X</v>
      </c>
    </row>
    <row r="21" spans="1:88" ht="27.75" customHeight="1">
      <c r="A21" s="6">
        <v>4.5</v>
      </c>
      <c r="B21" s="6" t="s">
        <v>42</v>
      </c>
      <c r="C21" s="6" t="s">
        <v>54</v>
      </c>
      <c r="D21" s="6" t="s">
        <v>55</v>
      </c>
      <c r="E21" s="6" t="s">
        <v>53</v>
      </c>
      <c r="F21" s="6">
        <v>4.4000000000000004</v>
      </c>
      <c r="G21" s="6" t="str">
        <f t="shared" si="13"/>
        <v>Week 7</v>
      </c>
      <c r="H21" s="6" t="str">
        <f t="shared" si="5"/>
        <v>Week 7</v>
      </c>
      <c r="I21" s="6">
        <f t="shared" si="6"/>
        <v>7</v>
      </c>
      <c r="J21" s="7">
        <v>46217</v>
      </c>
      <c r="K21" s="7">
        <v>46223</v>
      </c>
      <c r="L21" t="str">
        <f>IF($C21="","",IF(AND($J21&lt;=L$4,$K21&gt;=L$4),"X",""))</f>
        <v/>
      </c>
      <c r="M21" t="str">
        <f t="shared" si="14"/>
        <v/>
      </c>
      <c r="N21" t="str">
        <f t="shared" si="14"/>
        <v/>
      </c>
      <c r="O21" t="str">
        <f t="shared" si="14"/>
        <v/>
      </c>
      <c r="P21" t="str">
        <f t="shared" si="14"/>
        <v/>
      </c>
      <c r="Q21" t="str">
        <f t="shared" si="14"/>
        <v/>
      </c>
      <c r="R21" t="str">
        <f t="shared" si="14"/>
        <v/>
      </c>
      <c r="S21" t="str">
        <f t="shared" si="14"/>
        <v/>
      </c>
      <c r="T21" t="str">
        <f t="shared" si="14"/>
        <v/>
      </c>
      <c r="U21" t="str">
        <f t="shared" si="14"/>
        <v/>
      </c>
      <c r="V21" t="str">
        <f t="shared" si="14"/>
        <v/>
      </c>
      <c r="W21" t="str">
        <f t="shared" si="14"/>
        <v/>
      </c>
      <c r="X21" t="str">
        <f t="shared" si="14"/>
        <v/>
      </c>
      <c r="Y21" t="str">
        <f t="shared" si="14"/>
        <v/>
      </c>
      <c r="Z21" t="str">
        <f t="shared" si="14"/>
        <v/>
      </c>
      <c r="AA21" t="str">
        <f t="shared" si="14"/>
        <v/>
      </c>
      <c r="AB21" t="str">
        <f t="shared" si="14"/>
        <v/>
      </c>
      <c r="AC21" t="str">
        <f t="shared" si="14"/>
        <v/>
      </c>
      <c r="AD21" t="str">
        <f t="shared" si="14"/>
        <v/>
      </c>
      <c r="AE21" t="str">
        <f t="shared" si="14"/>
        <v/>
      </c>
      <c r="AF21" t="str">
        <f t="shared" si="14"/>
        <v/>
      </c>
      <c r="AG21" t="str">
        <f t="shared" si="14"/>
        <v/>
      </c>
      <c r="AH21" t="str">
        <f t="shared" si="14"/>
        <v/>
      </c>
      <c r="AI21" t="str">
        <f t="shared" si="14"/>
        <v/>
      </c>
      <c r="AJ21" t="str">
        <f t="shared" si="14"/>
        <v/>
      </c>
      <c r="AK21" t="str">
        <f t="shared" si="14"/>
        <v/>
      </c>
      <c r="AL21" t="str">
        <f t="shared" si="14"/>
        <v/>
      </c>
      <c r="AM21" t="str">
        <f t="shared" si="14"/>
        <v/>
      </c>
      <c r="AN21" t="str">
        <f t="shared" si="16"/>
        <v/>
      </c>
      <c r="AO21" t="str">
        <f t="shared" si="16"/>
        <v/>
      </c>
      <c r="AP21" t="str">
        <f t="shared" si="16"/>
        <v/>
      </c>
      <c r="AQ21" t="str">
        <f t="shared" si="16"/>
        <v/>
      </c>
      <c r="AR21" t="str">
        <f t="shared" si="16"/>
        <v/>
      </c>
      <c r="AS21" t="str">
        <f t="shared" si="16"/>
        <v/>
      </c>
      <c r="AT21" t="str">
        <f t="shared" si="16"/>
        <v/>
      </c>
      <c r="AU21" t="str">
        <f t="shared" si="16"/>
        <v/>
      </c>
      <c r="AV21" t="str">
        <f t="shared" si="16"/>
        <v/>
      </c>
      <c r="AW21" t="str">
        <f t="shared" si="16"/>
        <v/>
      </c>
      <c r="AX21" t="str">
        <f t="shared" si="16"/>
        <v/>
      </c>
      <c r="AY21" t="str">
        <f t="shared" ref="AY19:BN22" si="18">IF($C21="","",IF(AND($J21&lt;=AY$4,$K21&gt;=AY$4),"X",""))</f>
        <v/>
      </c>
      <c r="AZ21" t="str">
        <f t="shared" si="18"/>
        <v/>
      </c>
      <c r="BA21" t="str">
        <f t="shared" si="18"/>
        <v/>
      </c>
      <c r="BB21" t="str">
        <f t="shared" si="15"/>
        <v>X</v>
      </c>
      <c r="BC21" t="str">
        <f t="shared" si="17"/>
        <v>X</v>
      </c>
      <c r="BD21" t="str">
        <f t="shared" si="17"/>
        <v>X</v>
      </c>
      <c r="BE21" t="str">
        <f t="shared" si="17"/>
        <v>X</v>
      </c>
      <c r="BF21" t="str">
        <f t="shared" si="17"/>
        <v>X</v>
      </c>
      <c r="BG21" t="str">
        <f t="shared" si="17"/>
        <v>X</v>
      </c>
      <c r="BH21" t="str">
        <f t="shared" si="17"/>
        <v>X</v>
      </c>
    </row>
    <row r="22" spans="1:88" ht="27.75" customHeight="1">
      <c r="A22" s="6">
        <v>4.5999999999999996</v>
      </c>
      <c r="B22" s="6" t="s">
        <v>42</v>
      </c>
      <c r="C22" s="6" t="s">
        <v>56</v>
      </c>
      <c r="D22" s="6" t="s">
        <v>57</v>
      </c>
      <c r="E22" s="6" t="s">
        <v>48</v>
      </c>
      <c r="F22" s="6">
        <v>4.5</v>
      </c>
      <c r="G22" s="6" t="str">
        <f t="shared" si="13"/>
        <v>Week 7</v>
      </c>
      <c r="H22" s="6" t="str">
        <f t="shared" si="5"/>
        <v>Week 8</v>
      </c>
      <c r="I22" s="6">
        <f t="shared" si="6"/>
        <v>14</v>
      </c>
      <c r="J22" s="7">
        <v>46217</v>
      </c>
      <c r="K22" s="7">
        <v>46230</v>
      </c>
      <c r="L22" t="str">
        <f>IF($C22="","",IF(AND($J22&lt;=L$4,$K22&gt;=L$4),"X",""))</f>
        <v/>
      </c>
      <c r="M22" t="str">
        <f t="shared" si="14"/>
        <v/>
      </c>
      <c r="N22" t="str">
        <f t="shared" si="14"/>
        <v/>
      </c>
      <c r="O22" t="str">
        <f t="shared" si="14"/>
        <v/>
      </c>
      <c r="P22" t="str">
        <f t="shared" si="14"/>
        <v/>
      </c>
      <c r="Q22" t="str">
        <f t="shared" si="14"/>
        <v/>
      </c>
      <c r="R22" t="str">
        <f t="shared" si="14"/>
        <v/>
      </c>
      <c r="S22" t="str">
        <f t="shared" si="14"/>
        <v/>
      </c>
      <c r="T22" t="str">
        <f t="shared" si="14"/>
        <v/>
      </c>
      <c r="U22" t="str">
        <f t="shared" si="14"/>
        <v/>
      </c>
      <c r="V22" t="str">
        <f t="shared" si="14"/>
        <v/>
      </c>
      <c r="W22" t="str">
        <f t="shared" si="14"/>
        <v/>
      </c>
      <c r="X22" t="str">
        <f t="shared" si="14"/>
        <v/>
      </c>
      <c r="Y22" t="str">
        <f t="shared" si="14"/>
        <v/>
      </c>
      <c r="Z22" t="str">
        <f t="shared" si="14"/>
        <v/>
      </c>
      <c r="AA22" t="str">
        <f t="shared" si="14"/>
        <v/>
      </c>
      <c r="AB22" t="str">
        <f t="shared" si="14"/>
        <v/>
      </c>
      <c r="AC22" t="str">
        <f t="shared" si="14"/>
        <v/>
      </c>
      <c r="AD22" t="str">
        <f t="shared" si="14"/>
        <v/>
      </c>
      <c r="AE22" t="str">
        <f t="shared" si="14"/>
        <v/>
      </c>
      <c r="AF22" t="str">
        <f t="shared" si="14"/>
        <v/>
      </c>
      <c r="AG22" t="str">
        <f t="shared" si="14"/>
        <v/>
      </c>
      <c r="AH22" t="str">
        <f t="shared" si="14"/>
        <v/>
      </c>
      <c r="AI22" t="str">
        <f t="shared" si="14"/>
        <v/>
      </c>
      <c r="AJ22" t="str">
        <f t="shared" si="14"/>
        <v/>
      </c>
      <c r="AK22" t="str">
        <f t="shared" si="14"/>
        <v/>
      </c>
      <c r="AL22" t="str">
        <f t="shared" si="14"/>
        <v/>
      </c>
      <c r="AM22" t="str">
        <f t="shared" si="14"/>
        <v/>
      </c>
      <c r="AN22" t="str">
        <f t="shared" si="16"/>
        <v/>
      </c>
      <c r="AO22" t="str">
        <f t="shared" si="16"/>
        <v/>
      </c>
      <c r="AP22" t="str">
        <f t="shared" si="16"/>
        <v/>
      </c>
      <c r="AQ22" t="str">
        <f t="shared" si="16"/>
        <v/>
      </c>
      <c r="AR22" t="str">
        <f t="shared" si="16"/>
        <v/>
      </c>
      <c r="AS22" t="str">
        <f t="shared" si="16"/>
        <v/>
      </c>
      <c r="AT22" t="str">
        <f t="shared" si="16"/>
        <v/>
      </c>
      <c r="AU22" t="str">
        <f t="shared" si="16"/>
        <v/>
      </c>
      <c r="AV22" t="str">
        <f t="shared" si="16"/>
        <v/>
      </c>
      <c r="AW22" t="str">
        <f t="shared" si="16"/>
        <v/>
      </c>
      <c r="AX22" t="str">
        <f t="shared" si="16"/>
        <v/>
      </c>
      <c r="AY22" t="str">
        <f t="shared" si="18"/>
        <v/>
      </c>
      <c r="AZ22" t="str">
        <f t="shared" si="18"/>
        <v/>
      </c>
      <c r="BA22" t="str">
        <f t="shared" si="18"/>
        <v/>
      </c>
      <c r="BB22" t="str">
        <f t="shared" si="15"/>
        <v>X</v>
      </c>
      <c r="BC22" t="str">
        <f t="shared" si="17"/>
        <v>X</v>
      </c>
      <c r="BD22" t="str">
        <f t="shared" si="17"/>
        <v>X</v>
      </c>
      <c r="BE22" t="str">
        <f t="shared" si="17"/>
        <v>X</v>
      </c>
      <c r="BF22" t="str">
        <f t="shared" si="17"/>
        <v>X</v>
      </c>
      <c r="BG22" t="str">
        <f t="shared" si="17"/>
        <v>X</v>
      </c>
      <c r="BH22" t="str">
        <f t="shared" si="17"/>
        <v>X</v>
      </c>
      <c r="BI22" t="str">
        <f t="shared" si="17"/>
        <v>X</v>
      </c>
      <c r="BJ22" t="str">
        <f t="shared" si="17"/>
        <v>X</v>
      </c>
      <c r="BK22" t="str">
        <f t="shared" si="17"/>
        <v>X</v>
      </c>
      <c r="BL22" t="str">
        <f t="shared" si="17"/>
        <v>X</v>
      </c>
      <c r="BM22" t="str">
        <f t="shared" si="17"/>
        <v>X</v>
      </c>
      <c r="BN22" t="str">
        <f t="shared" si="17"/>
        <v>X</v>
      </c>
      <c r="BO22" t="str">
        <f t="shared" si="17"/>
        <v>X</v>
      </c>
    </row>
    <row r="23" spans="1:88" ht="27" customHeight="1">
      <c r="A23" s="23" t="s">
        <v>58</v>
      </c>
      <c r="B23" s="24"/>
      <c r="C23" s="24"/>
      <c r="D23" s="24"/>
      <c r="E23" s="24"/>
      <c r="F23" s="24"/>
      <c r="G23" s="24"/>
      <c r="H23" s="24"/>
      <c r="I23" s="24"/>
      <c r="J23" s="24"/>
      <c r="K23" s="25"/>
    </row>
    <row r="24" spans="1:88" ht="27.75" customHeight="1">
      <c r="A24" s="6">
        <v>5.0999999999999996</v>
      </c>
      <c r="B24" s="6" t="s">
        <v>59</v>
      </c>
      <c r="C24" s="6" t="s">
        <v>60</v>
      </c>
      <c r="D24" s="6" t="s">
        <v>61</v>
      </c>
      <c r="E24" s="6" t="s">
        <v>62</v>
      </c>
      <c r="F24" s="6">
        <v>4.5999999999999996</v>
      </c>
      <c r="G24" s="6" t="str">
        <f t="shared" si="13"/>
        <v>Week 9</v>
      </c>
      <c r="H24" s="6" t="str">
        <f t="shared" si="5"/>
        <v>Week 9</v>
      </c>
      <c r="I24" s="6">
        <f t="shared" si="6"/>
        <v>7</v>
      </c>
      <c r="J24" s="7">
        <v>46231</v>
      </c>
      <c r="K24" s="7">
        <v>46237</v>
      </c>
      <c r="L24" t="str">
        <f>IF($C24="","",IF(AND($J24&lt;=L$4,$K24&gt;=L$4),"X",""))</f>
        <v/>
      </c>
      <c r="M24" t="str">
        <f t="shared" ref="M24:BV26" si="19">IF($C24="","",IF(AND($J24&lt;=M$4,$K24&gt;=M$4),"X",""))</f>
        <v/>
      </c>
      <c r="N24" t="str">
        <f t="shared" si="19"/>
        <v/>
      </c>
      <c r="O24" t="str">
        <f t="shared" si="19"/>
        <v/>
      </c>
      <c r="P24" t="str">
        <f t="shared" si="19"/>
        <v/>
      </c>
      <c r="Q24" t="str">
        <f t="shared" si="19"/>
        <v/>
      </c>
      <c r="R24" t="str">
        <f t="shared" si="19"/>
        <v/>
      </c>
      <c r="S24" t="str">
        <f t="shared" si="19"/>
        <v/>
      </c>
      <c r="T24" t="str">
        <f t="shared" si="19"/>
        <v/>
      </c>
      <c r="U24" t="str">
        <f t="shared" si="19"/>
        <v/>
      </c>
      <c r="V24" t="str">
        <f t="shared" si="19"/>
        <v/>
      </c>
      <c r="W24" t="str">
        <f t="shared" si="19"/>
        <v/>
      </c>
      <c r="X24" t="str">
        <f t="shared" si="19"/>
        <v/>
      </c>
      <c r="Y24" t="str">
        <f t="shared" si="19"/>
        <v/>
      </c>
      <c r="Z24" t="str">
        <f t="shared" si="19"/>
        <v/>
      </c>
      <c r="AA24" t="str">
        <f t="shared" si="19"/>
        <v/>
      </c>
      <c r="AB24" t="str">
        <f t="shared" si="19"/>
        <v/>
      </c>
      <c r="AC24" t="str">
        <f t="shared" si="19"/>
        <v/>
      </c>
      <c r="AD24" t="str">
        <f t="shared" si="19"/>
        <v/>
      </c>
      <c r="AE24" t="str">
        <f t="shared" si="19"/>
        <v/>
      </c>
      <c r="AF24" t="str">
        <f t="shared" si="19"/>
        <v/>
      </c>
      <c r="AG24" t="str">
        <f t="shared" si="19"/>
        <v/>
      </c>
      <c r="AH24" t="str">
        <f t="shared" si="19"/>
        <v/>
      </c>
      <c r="AI24" t="str">
        <f t="shared" si="19"/>
        <v/>
      </c>
      <c r="AJ24" t="str">
        <f t="shared" si="19"/>
        <v/>
      </c>
      <c r="AK24" t="str">
        <f t="shared" si="19"/>
        <v/>
      </c>
      <c r="AL24" t="str">
        <f t="shared" si="19"/>
        <v/>
      </c>
      <c r="AM24" t="str">
        <f t="shared" si="19"/>
        <v/>
      </c>
      <c r="AN24" t="str">
        <f t="shared" si="19"/>
        <v/>
      </c>
      <c r="AO24" t="str">
        <f t="shared" si="19"/>
        <v/>
      </c>
      <c r="AP24" t="str">
        <f t="shared" si="19"/>
        <v/>
      </c>
      <c r="AQ24" t="str">
        <f t="shared" si="19"/>
        <v/>
      </c>
      <c r="AR24" t="str">
        <f t="shared" si="19"/>
        <v/>
      </c>
      <c r="AS24" t="str">
        <f t="shared" si="19"/>
        <v/>
      </c>
      <c r="AT24" t="str">
        <f t="shared" si="19"/>
        <v/>
      </c>
      <c r="AU24" t="str">
        <f t="shared" si="19"/>
        <v/>
      </c>
      <c r="AV24" t="str">
        <f t="shared" si="19"/>
        <v/>
      </c>
      <c r="AW24" t="str">
        <f t="shared" si="19"/>
        <v/>
      </c>
      <c r="AX24" t="str">
        <f t="shared" si="19"/>
        <v/>
      </c>
      <c r="AY24" t="str">
        <f t="shared" si="19"/>
        <v/>
      </c>
      <c r="AZ24" t="str">
        <f t="shared" si="19"/>
        <v/>
      </c>
      <c r="BA24" t="str">
        <f t="shared" si="19"/>
        <v/>
      </c>
      <c r="BB24" t="str">
        <f t="shared" si="19"/>
        <v/>
      </c>
      <c r="BC24" t="str">
        <f t="shared" si="19"/>
        <v/>
      </c>
      <c r="BD24" t="str">
        <f t="shared" si="19"/>
        <v/>
      </c>
      <c r="BE24" t="str">
        <f t="shared" si="19"/>
        <v/>
      </c>
      <c r="BF24" t="str">
        <f t="shared" si="19"/>
        <v/>
      </c>
      <c r="BG24" t="str">
        <f t="shared" si="19"/>
        <v/>
      </c>
      <c r="BH24" t="str">
        <f t="shared" si="19"/>
        <v/>
      </c>
      <c r="BI24" t="str">
        <f t="shared" si="19"/>
        <v/>
      </c>
      <c r="BJ24" t="str">
        <f t="shared" si="19"/>
        <v/>
      </c>
      <c r="BK24" t="str">
        <f t="shared" si="19"/>
        <v/>
      </c>
      <c r="BL24" t="str">
        <f t="shared" si="19"/>
        <v/>
      </c>
      <c r="BM24" t="str">
        <f t="shared" si="19"/>
        <v/>
      </c>
      <c r="BN24" t="str">
        <f t="shared" si="19"/>
        <v/>
      </c>
      <c r="BO24" t="str">
        <f t="shared" si="19"/>
        <v/>
      </c>
      <c r="BP24" t="str">
        <f t="shared" si="19"/>
        <v>X</v>
      </c>
      <c r="BQ24" t="str">
        <f t="shared" si="19"/>
        <v>X</v>
      </c>
      <c r="BR24" t="str">
        <f t="shared" si="19"/>
        <v>X</v>
      </c>
      <c r="BS24" t="str">
        <f t="shared" si="19"/>
        <v>X</v>
      </c>
      <c r="BT24" t="str">
        <f t="shared" si="19"/>
        <v>X</v>
      </c>
      <c r="BU24" t="str">
        <f t="shared" si="19"/>
        <v>X</v>
      </c>
      <c r="BV24" t="str">
        <f t="shared" si="19"/>
        <v>X</v>
      </c>
    </row>
    <row r="25" spans="1:88" ht="32.25" customHeight="1">
      <c r="A25" s="6">
        <v>5.2</v>
      </c>
      <c r="B25" s="6" t="s">
        <v>59</v>
      </c>
      <c r="C25" s="6" t="s">
        <v>63</v>
      </c>
      <c r="D25" s="6" t="s">
        <v>64</v>
      </c>
      <c r="E25" s="6" t="s">
        <v>65</v>
      </c>
      <c r="F25" s="6">
        <v>5.0999999999999996</v>
      </c>
      <c r="G25" s="6" t="str">
        <f t="shared" si="13"/>
        <v>Week 9</v>
      </c>
      <c r="H25" s="6" t="str">
        <f t="shared" si="5"/>
        <v>Week 9</v>
      </c>
      <c r="I25" s="6">
        <f t="shared" si="6"/>
        <v>7</v>
      </c>
      <c r="J25" s="10">
        <v>46231</v>
      </c>
      <c r="K25" s="10">
        <v>46237</v>
      </c>
      <c r="L25" t="str">
        <f>IF($C25="","",IF(AND($J25&lt;=L$4,$K25&gt;=L$4),"X",""))</f>
        <v/>
      </c>
      <c r="M25" t="str">
        <f t="shared" si="19"/>
        <v/>
      </c>
      <c r="N25" t="str">
        <f t="shared" si="19"/>
        <v/>
      </c>
      <c r="O25" t="str">
        <f t="shared" si="19"/>
        <v/>
      </c>
      <c r="P25" t="str">
        <f t="shared" si="19"/>
        <v/>
      </c>
      <c r="Q25" t="str">
        <f t="shared" si="19"/>
        <v/>
      </c>
      <c r="R25" t="str">
        <f t="shared" si="19"/>
        <v/>
      </c>
      <c r="S25" t="str">
        <f t="shared" si="19"/>
        <v/>
      </c>
      <c r="T25" t="str">
        <f t="shared" si="19"/>
        <v/>
      </c>
      <c r="U25" t="str">
        <f t="shared" si="19"/>
        <v/>
      </c>
      <c r="V25" t="str">
        <f t="shared" si="19"/>
        <v/>
      </c>
      <c r="W25" t="str">
        <f t="shared" si="19"/>
        <v/>
      </c>
      <c r="X25" t="str">
        <f t="shared" si="19"/>
        <v/>
      </c>
      <c r="Y25" t="str">
        <f t="shared" si="19"/>
        <v/>
      </c>
      <c r="Z25" t="str">
        <f t="shared" si="19"/>
        <v/>
      </c>
      <c r="AA25" t="str">
        <f t="shared" si="19"/>
        <v/>
      </c>
      <c r="AB25" t="str">
        <f t="shared" si="19"/>
        <v/>
      </c>
      <c r="AC25" t="str">
        <f t="shared" si="19"/>
        <v/>
      </c>
      <c r="AD25" t="str">
        <f t="shared" si="19"/>
        <v/>
      </c>
      <c r="AE25" t="str">
        <f t="shared" si="19"/>
        <v/>
      </c>
      <c r="AF25" t="str">
        <f t="shared" si="19"/>
        <v/>
      </c>
      <c r="AG25" t="str">
        <f t="shared" si="19"/>
        <v/>
      </c>
      <c r="AH25" t="str">
        <f t="shared" si="19"/>
        <v/>
      </c>
      <c r="AI25" t="str">
        <f t="shared" si="19"/>
        <v/>
      </c>
      <c r="AJ25" t="str">
        <f t="shared" si="19"/>
        <v/>
      </c>
      <c r="AK25" t="str">
        <f t="shared" si="19"/>
        <v/>
      </c>
      <c r="AL25" t="str">
        <f t="shared" si="19"/>
        <v/>
      </c>
      <c r="AM25" t="str">
        <f t="shared" si="19"/>
        <v/>
      </c>
      <c r="AN25" t="str">
        <f t="shared" si="19"/>
        <v/>
      </c>
      <c r="AO25" t="str">
        <f t="shared" si="19"/>
        <v/>
      </c>
      <c r="AP25" t="str">
        <f t="shared" si="19"/>
        <v/>
      </c>
      <c r="AQ25" t="str">
        <f t="shared" si="19"/>
        <v/>
      </c>
      <c r="AR25" t="str">
        <f t="shared" si="19"/>
        <v/>
      </c>
      <c r="AS25" t="str">
        <f t="shared" si="19"/>
        <v/>
      </c>
      <c r="AT25" t="str">
        <f t="shared" si="19"/>
        <v/>
      </c>
      <c r="AU25" t="str">
        <f t="shared" si="19"/>
        <v/>
      </c>
      <c r="AV25" t="str">
        <f t="shared" si="19"/>
        <v/>
      </c>
      <c r="AW25" t="str">
        <f t="shared" si="19"/>
        <v/>
      </c>
      <c r="AX25" t="str">
        <f t="shared" si="19"/>
        <v/>
      </c>
      <c r="AY25" t="str">
        <f t="shared" si="19"/>
        <v/>
      </c>
      <c r="AZ25" t="str">
        <f t="shared" si="19"/>
        <v/>
      </c>
      <c r="BA25" t="str">
        <f t="shared" si="19"/>
        <v/>
      </c>
      <c r="BB25" t="str">
        <f t="shared" si="19"/>
        <v/>
      </c>
      <c r="BC25" t="str">
        <f t="shared" si="19"/>
        <v/>
      </c>
      <c r="BD25" t="str">
        <f t="shared" si="19"/>
        <v/>
      </c>
      <c r="BE25" t="str">
        <f t="shared" si="19"/>
        <v/>
      </c>
      <c r="BF25" t="str">
        <f t="shared" si="19"/>
        <v/>
      </c>
      <c r="BG25" t="str">
        <f t="shared" si="19"/>
        <v/>
      </c>
      <c r="BH25" t="str">
        <f t="shared" si="19"/>
        <v/>
      </c>
      <c r="BI25" t="str">
        <f t="shared" si="19"/>
        <v/>
      </c>
      <c r="BJ25" t="str">
        <f t="shared" si="19"/>
        <v/>
      </c>
      <c r="BK25" t="str">
        <f t="shared" si="19"/>
        <v/>
      </c>
      <c r="BL25" t="str">
        <f t="shared" si="19"/>
        <v/>
      </c>
      <c r="BM25" t="str">
        <f t="shared" si="19"/>
        <v/>
      </c>
      <c r="BN25" t="str">
        <f t="shared" si="19"/>
        <v/>
      </c>
      <c r="BO25" t="str">
        <f t="shared" si="19"/>
        <v/>
      </c>
      <c r="BP25" t="str">
        <f t="shared" si="19"/>
        <v>X</v>
      </c>
      <c r="BQ25" t="str">
        <f t="shared" si="19"/>
        <v>X</v>
      </c>
      <c r="BR25" t="str">
        <f t="shared" si="19"/>
        <v>X</v>
      </c>
      <c r="BS25" t="str">
        <f t="shared" si="19"/>
        <v>X</v>
      </c>
      <c r="BT25" t="str">
        <f t="shared" si="19"/>
        <v>X</v>
      </c>
      <c r="BU25" t="str">
        <f t="shared" si="19"/>
        <v>X</v>
      </c>
      <c r="BV25" t="str">
        <f t="shared" si="19"/>
        <v>X</v>
      </c>
    </row>
    <row r="26" spans="1:88" ht="22.5" customHeight="1">
      <c r="A26" s="23" t="s">
        <v>66</v>
      </c>
      <c r="B26" s="24"/>
      <c r="C26" s="24"/>
      <c r="D26" s="24"/>
      <c r="E26" s="24"/>
      <c r="F26" s="24"/>
      <c r="G26" s="24"/>
      <c r="H26" s="24"/>
      <c r="I26" s="24"/>
      <c r="J26" s="24"/>
      <c r="K26" s="25"/>
    </row>
    <row r="27" spans="1:88" ht="30.75">
      <c r="A27" s="6">
        <v>6.1</v>
      </c>
      <c r="B27" s="6" t="s">
        <v>67</v>
      </c>
      <c r="C27" s="6" t="s">
        <v>68</v>
      </c>
      <c r="D27" s="6" t="s">
        <v>69</v>
      </c>
      <c r="E27" s="6" t="s">
        <v>70</v>
      </c>
      <c r="F27" s="6">
        <v>5.2</v>
      </c>
      <c r="G27" s="6" t="str">
        <f t="shared" si="13"/>
        <v>Week 10</v>
      </c>
      <c r="H27" s="6" t="str">
        <f t="shared" si="5"/>
        <v>Week 10</v>
      </c>
      <c r="I27" s="6">
        <f t="shared" si="6"/>
        <v>7</v>
      </c>
      <c r="J27" s="9">
        <v>46238</v>
      </c>
      <c r="K27" s="9">
        <v>46244</v>
      </c>
      <c r="L27" t="str">
        <f>IF($C27="","",IF(AND($J27&lt;=L$4,$K27&gt;=L$4),"X",""))</f>
        <v/>
      </c>
      <c r="M27" t="str">
        <f t="shared" ref="M27:BX28" si="20">IF($C27="","",IF(AND($J27&lt;=M$4,$K27&gt;=M$4),"X",""))</f>
        <v/>
      </c>
      <c r="N27" t="str">
        <f t="shared" si="20"/>
        <v/>
      </c>
      <c r="O27" t="str">
        <f t="shared" si="20"/>
        <v/>
      </c>
      <c r="P27" t="str">
        <f t="shared" si="20"/>
        <v/>
      </c>
      <c r="Q27" t="str">
        <f t="shared" si="20"/>
        <v/>
      </c>
      <c r="R27" t="str">
        <f t="shared" si="20"/>
        <v/>
      </c>
      <c r="S27" t="str">
        <f t="shared" si="20"/>
        <v/>
      </c>
      <c r="T27" t="str">
        <f t="shared" si="20"/>
        <v/>
      </c>
      <c r="U27" t="str">
        <f t="shared" si="20"/>
        <v/>
      </c>
      <c r="V27" t="str">
        <f t="shared" si="20"/>
        <v/>
      </c>
      <c r="W27" t="str">
        <f t="shared" si="20"/>
        <v/>
      </c>
      <c r="X27" t="str">
        <f t="shared" si="20"/>
        <v/>
      </c>
      <c r="Y27" t="str">
        <f t="shared" si="20"/>
        <v/>
      </c>
      <c r="Z27" t="str">
        <f t="shared" si="20"/>
        <v/>
      </c>
      <c r="AA27" t="str">
        <f t="shared" si="20"/>
        <v/>
      </c>
      <c r="AB27" t="str">
        <f t="shared" si="20"/>
        <v/>
      </c>
      <c r="AC27" t="str">
        <f t="shared" si="20"/>
        <v/>
      </c>
      <c r="AD27" t="str">
        <f t="shared" si="20"/>
        <v/>
      </c>
      <c r="AE27" t="str">
        <f t="shared" si="20"/>
        <v/>
      </c>
      <c r="AF27" t="str">
        <f t="shared" si="20"/>
        <v/>
      </c>
      <c r="AG27" t="str">
        <f t="shared" si="20"/>
        <v/>
      </c>
      <c r="AH27" t="str">
        <f t="shared" si="20"/>
        <v/>
      </c>
      <c r="AI27" t="str">
        <f t="shared" si="20"/>
        <v/>
      </c>
      <c r="AJ27" t="str">
        <f t="shared" si="20"/>
        <v/>
      </c>
      <c r="AK27" t="str">
        <f t="shared" si="20"/>
        <v/>
      </c>
      <c r="AL27" t="str">
        <f t="shared" si="20"/>
        <v/>
      </c>
      <c r="AM27" t="str">
        <f t="shared" si="20"/>
        <v/>
      </c>
      <c r="AN27" t="str">
        <f t="shared" si="20"/>
        <v/>
      </c>
      <c r="AO27" t="str">
        <f t="shared" si="20"/>
        <v/>
      </c>
      <c r="AP27" t="str">
        <f t="shared" si="20"/>
        <v/>
      </c>
      <c r="AQ27" t="str">
        <f t="shared" si="20"/>
        <v/>
      </c>
      <c r="AR27" t="str">
        <f t="shared" si="20"/>
        <v/>
      </c>
      <c r="AS27" t="str">
        <f t="shared" si="20"/>
        <v/>
      </c>
      <c r="AT27" t="str">
        <f t="shared" si="20"/>
        <v/>
      </c>
      <c r="AU27" t="str">
        <f t="shared" si="20"/>
        <v/>
      </c>
      <c r="AV27" t="str">
        <f t="shared" si="20"/>
        <v/>
      </c>
      <c r="AW27" t="str">
        <f t="shared" si="20"/>
        <v/>
      </c>
      <c r="AX27" t="str">
        <f t="shared" si="20"/>
        <v/>
      </c>
      <c r="AY27" t="str">
        <f t="shared" si="20"/>
        <v/>
      </c>
      <c r="AZ27" t="str">
        <f t="shared" si="20"/>
        <v/>
      </c>
      <c r="BA27" t="str">
        <f t="shared" si="20"/>
        <v/>
      </c>
      <c r="BB27" t="str">
        <f t="shared" si="20"/>
        <v/>
      </c>
      <c r="BC27" t="str">
        <f t="shared" si="20"/>
        <v/>
      </c>
      <c r="BD27" t="str">
        <f t="shared" si="20"/>
        <v/>
      </c>
      <c r="BE27" t="str">
        <f t="shared" si="20"/>
        <v/>
      </c>
      <c r="BF27" t="str">
        <f t="shared" si="20"/>
        <v/>
      </c>
      <c r="BG27" t="str">
        <f t="shared" si="20"/>
        <v/>
      </c>
      <c r="BH27" t="str">
        <f t="shared" si="20"/>
        <v/>
      </c>
      <c r="BI27" t="str">
        <f t="shared" si="20"/>
        <v/>
      </c>
      <c r="BJ27" t="str">
        <f t="shared" si="20"/>
        <v/>
      </c>
      <c r="BK27" t="str">
        <f t="shared" si="20"/>
        <v/>
      </c>
      <c r="BL27" t="str">
        <f t="shared" si="20"/>
        <v/>
      </c>
      <c r="BM27" t="str">
        <f t="shared" si="20"/>
        <v/>
      </c>
      <c r="BN27" t="str">
        <f t="shared" si="20"/>
        <v/>
      </c>
      <c r="BO27" t="str">
        <f t="shared" si="20"/>
        <v/>
      </c>
      <c r="BP27" t="str">
        <f t="shared" si="20"/>
        <v/>
      </c>
      <c r="BQ27" t="str">
        <f t="shared" si="20"/>
        <v/>
      </c>
      <c r="BR27" t="str">
        <f t="shared" si="20"/>
        <v/>
      </c>
      <c r="BS27" t="str">
        <f t="shared" si="20"/>
        <v/>
      </c>
      <c r="BT27" t="str">
        <f t="shared" si="20"/>
        <v/>
      </c>
      <c r="BU27" t="str">
        <f t="shared" si="20"/>
        <v/>
      </c>
      <c r="BV27" t="str">
        <f t="shared" si="20"/>
        <v/>
      </c>
      <c r="BW27" t="str">
        <f t="shared" si="20"/>
        <v>X</v>
      </c>
      <c r="BX27" t="str">
        <f t="shared" si="20"/>
        <v>X</v>
      </c>
      <c r="BY27" t="str">
        <f t="shared" ref="BX27:CC28" si="21">IF($C27="","",IF(AND($J27&lt;=BY$4,$K27&gt;=BY$4),"X",""))</f>
        <v>X</v>
      </c>
      <c r="BZ27" t="str">
        <f t="shared" si="21"/>
        <v>X</v>
      </c>
      <c r="CA27" t="str">
        <f t="shared" si="21"/>
        <v>X</v>
      </c>
      <c r="CB27" t="str">
        <f t="shared" si="21"/>
        <v>X</v>
      </c>
      <c r="CC27" t="str">
        <f t="shared" si="21"/>
        <v>X</v>
      </c>
    </row>
    <row r="28" spans="1:88" ht="28.5" customHeight="1">
      <c r="A28" s="6">
        <v>6.2</v>
      </c>
      <c r="B28" s="6" t="s">
        <v>67</v>
      </c>
      <c r="C28" s="6" t="s">
        <v>71</v>
      </c>
      <c r="D28" s="6" t="s">
        <v>72</v>
      </c>
      <c r="E28" s="6" t="s">
        <v>16</v>
      </c>
      <c r="F28" s="6">
        <v>6.1</v>
      </c>
      <c r="G28" s="6" t="str">
        <f t="shared" si="13"/>
        <v>Week 10</v>
      </c>
      <c r="H28" s="6" t="str">
        <f t="shared" si="5"/>
        <v>Week 10</v>
      </c>
      <c r="I28" s="6">
        <f t="shared" si="6"/>
        <v>7</v>
      </c>
      <c r="J28" s="9">
        <v>46238</v>
      </c>
      <c r="K28" s="9">
        <v>46244</v>
      </c>
      <c r="L28" t="str">
        <f>IF($C28="","",IF(AND($J28&lt;=L$4,$K28&gt;=L$4),"X",""))</f>
        <v/>
      </c>
      <c r="M28" t="str">
        <f t="shared" si="20"/>
        <v/>
      </c>
      <c r="N28" t="str">
        <f t="shared" si="20"/>
        <v/>
      </c>
      <c r="O28" t="str">
        <f t="shared" si="20"/>
        <v/>
      </c>
      <c r="P28" t="str">
        <f t="shared" si="20"/>
        <v/>
      </c>
      <c r="Q28" t="str">
        <f t="shared" si="20"/>
        <v/>
      </c>
      <c r="R28" t="str">
        <f t="shared" si="20"/>
        <v/>
      </c>
      <c r="S28" t="str">
        <f t="shared" si="20"/>
        <v/>
      </c>
      <c r="T28" t="str">
        <f t="shared" si="20"/>
        <v/>
      </c>
      <c r="U28" t="str">
        <f t="shared" si="20"/>
        <v/>
      </c>
      <c r="V28" t="str">
        <f t="shared" si="20"/>
        <v/>
      </c>
      <c r="W28" t="str">
        <f t="shared" si="20"/>
        <v/>
      </c>
      <c r="X28" t="str">
        <f t="shared" si="20"/>
        <v/>
      </c>
      <c r="Y28" t="str">
        <f t="shared" si="20"/>
        <v/>
      </c>
      <c r="Z28" t="str">
        <f t="shared" si="20"/>
        <v/>
      </c>
      <c r="AA28" t="str">
        <f t="shared" si="20"/>
        <v/>
      </c>
      <c r="AB28" t="str">
        <f t="shared" si="20"/>
        <v/>
      </c>
      <c r="AC28" t="str">
        <f t="shared" si="20"/>
        <v/>
      </c>
      <c r="AD28" t="str">
        <f t="shared" si="20"/>
        <v/>
      </c>
      <c r="AE28" t="str">
        <f t="shared" si="20"/>
        <v/>
      </c>
      <c r="AF28" t="str">
        <f t="shared" si="20"/>
        <v/>
      </c>
      <c r="AG28" t="str">
        <f t="shared" si="20"/>
        <v/>
      </c>
      <c r="AH28" t="str">
        <f t="shared" si="20"/>
        <v/>
      </c>
      <c r="AI28" t="str">
        <f t="shared" si="20"/>
        <v/>
      </c>
      <c r="AJ28" t="str">
        <f t="shared" si="20"/>
        <v/>
      </c>
      <c r="AK28" t="str">
        <f t="shared" si="20"/>
        <v/>
      </c>
      <c r="AL28" t="str">
        <f t="shared" si="20"/>
        <v/>
      </c>
      <c r="AM28" t="str">
        <f t="shared" si="20"/>
        <v/>
      </c>
      <c r="AN28" t="str">
        <f t="shared" si="20"/>
        <v/>
      </c>
      <c r="AO28" t="str">
        <f t="shared" si="20"/>
        <v/>
      </c>
      <c r="AP28" t="str">
        <f t="shared" si="20"/>
        <v/>
      </c>
      <c r="AQ28" t="str">
        <f t="shared" si="20"/>
        <v/>
      </c>
      <c r="AR28" t="str">
        <f t="shared" si="20"/>
        <v/>
      </c>
      <c r="AS28" t="str">
        <f t="shared" si="20"/>
        <v/>
      </c>
      <c r="AT28" t="str">
        <f t="shared" si="20"/>
        <v/>
      </c>
      <c r="AU28" t="str">
        <f t="shared" si="20"/>
        <v/>
      </c>
      <c r="AV28" t="str">
        <f t="shared" si="20"/>
        <v/>
      </c>
      <c r="AW28" t="str">
        <f t="shared" si="20"/>
        <v/>
      </c>
      <c r="AX28" t="str">
        <f t="shared" si="20"/>
        <v/>
      </c>
      <c r="AY28" t="str">
        <f t="shared" si="20"/>
        <v/>
      </c>
      <c r="AZ28" t="str">
        <f t="shared" si="20"/>
        <v/>
      </c>
      <c r="BA28" t="str">
        <f t="shared" si="20"/>
        <v/>
      </c>
      <c r="BB28" t="str">
        <f t="shared" si="20"/>
        <v/>
      </c>
      <c r="BC28" t="str">
        <f t="shared" si="20"/>
        <v/>
      </c>
      <c r="BD28" t="str">
        <f t="shared" si="20"/>
        <v/>
      </c>
      <c r="BE28" t="str">
        <f t="shared" si="20"/>
        <v/>
      </c>
      <c r="BF28" t="str">
        <f t="shared" si="20"/>
        <v/>
      </c>
      <c r="BG28" t="str">
        <f t="shared" si="20"/>
        <v/>
      </c>
      <c r="BH28" t="str">
        <f t="shared" si="20"/>
        <v/>
      </c>
      <c r="BI28" t="str">
        <f t="shared" si="20"/>
        <v/>
      </c>
      <c r="BJ28" t="str">
        <f t="shared" si="20"/>
        <v/>
      </c>
      <c r="BK28" t="str">
        <f t="shared" si="20"/>
        <v/>
      </c>
      <c r="BL28" t="str">
        <f t="shared" si="20"/>
        <v/>
      </c>
      <c r="BM28" t="str">
        <f t="shared" si="20"/>
        <v/>
      </c>
      <c r="BN28" t="str">
        <f t="shared" si="20"/>
        <v/>
      </c>
      <c r="BO28" t="str">
        <f t="shared" si="20"/>
        <v/>
      </c>
      <c r="BP28" t="str">
        <f t="shared" si="20"/>
        <v/>
      </c>
      <c r="BQ28" t="str">
        <f t="shared" si="20"/>
        <v/>
      </c>
      <c r="BR28" t="str">
        <f t="shared" si="20"/>
        <v/>
      </c>
      <c r="BS28" t="str">
        <f t="shared" si="20"/>
        <v/>
      </c>
      <c r="BT28" t="str">
        <f t="shared" si="20"/>
        <v/>
      </c>
      <c r="BU28" t="str">
        <f t="shared" si="20"/>
        <v/>
      </c>
      <c r="BV28" t="str">
        <f t="shared" si="20"/>
        <v/>
      </c>
      <c r="BW28" t="str">
        <f t="shared" si="20"/>
        <v>X</v>
      </c>
      <c r="BX28" t="str">
        <f t="shared" si="21"/>
        <v>X</v>
      </c>
      <c r="BY28" t="str">
        <f t="shared" si="21"/>
        <v>X</v>
      </c>
      <c r="BZ28" t="str">
        <f t="shared" si="21"/>
        <v>X</v>
      </c>
      <c r="CA28" t="str">
        <f t="shared" si="21"/>
        <v>X</v>
      </c>
      <c r="CB28" t="str">
        <f t="shared" si="21"/>
        <v>X</v>
      </c>
      <c r="CC28" t="str">
        <f t="shared" si="21"/>
        <v>X</v>
      </c>
    </row>
    <row r="29" spans="1:88" ht="22.5" customHeight="1">
      <c r="A29" s="23" t="s">
        <v>73</v>
      </c>
      <c r="B29" s="24"/>
      <c r="C29" s="24"/>
      <c r="D29" s="24"/>
      <c r="E29" s="24"/>
      <c r="F29" s="24"/>
      <c r="G29" s="24"/>
      <c r="H29" s="24"/>
      <c r="I29" s="24"/>
      <c r="J29" s="24"/>
      <c r="K29" s="25"/>
    </row>
    <row r="30" spans="1:88" ht="30" customHeight="1">
      <c r="A30" s="6">
        <v>7.1</v>
      </c>
      <c r="B30" s="6" t="s">
        <v>74</v>
      </c>
      <c r="C30" s="6" t="s">
        <v>75</v>
      </c>
      <c r="D30" s="6" t="s">
        <v>76</v>
      </c>
      <c r="E30" s="6" t="s">
        <v>20</v>
      </c>
      <c r="F30" s="6">
        <v>6.2</v>
      </c>
      <c r="G30" s="6" t="str">
        <f t="shared" si="13"/>
        <v>Week 11</v>
      </c>
      <c r="H30" s="6" t="str">
        <f t="shared" si="5"/>
        <v>Week 11</v>
      </c>
      <c r="I30" s="6">
        <f t="shared" si="6"/>
        <v>7</v>
      </c>
      <c r="J30" s="9">
        <v>46245</v>
      </c>
      <c r="K30" s="9">
        <v>46251</v>
      </c>
      <c r="L30" t="str">
        <f>IF($C30="","",IF(AND($J30&lt;=L$4,$K30&gt;=L$4),"X",""))</f>
        <v/>
      </c>
      <c r="M30" t="str">
        <f t="shared" ref="M30:BX30" si="22">IF($C30="","",IF(AND($J30&lt;=M$4,$K30&gt;=M$4),"X",""))</f>
        <v/>
      </c>
      <c r="N30" t="str">
        <f t="shared" si="22"/>
        <v/>
      </c>
      <c r="O30" t="str">
        <f t="shared" si="22"/>
        <v/>
      </c>
      <c r="P30" t="str">
        <f t="shared" si="22"/>
        <v/>
      </c>
      <c r="Q30" t="str">
        <f t="shared" si="22"/>
        <v/>
      </c>
      <c r="R30" t="str">
        <f t="shared" si="22"/>
        <v/>
      </c>
      <c r="S30" t="str">
        <f t="shared" si="22"/>
        <v/>
      </c>
      <c r="T30" t="str">
        <f t="shared" si="22"/>
        <v/>
      </c>
      <c r="U30" t="str">
        <f t="shared" si="22"/>
        <v/>
      </c>
      <c r="V30" t="str">
        <f t="shared" si="22"/>
        <v/>
      </c>
      <c r="W30" t="str">
        <f t="shared" si="22"/>
        <v/>
      </c>
      <c r="X30" t="str">
        <f t="shared" si="22"/>
        <v/>
      </c>
      <c r="Y30" t="str">
        <f t="shared" si="22"/>
        <v/>
      </c>
      <c r="Z30" t="str">
        <f t="shared" si="22"/>
        <v/>
      </c>
      <c r="AA30" t="str">
        <f t="shared" si="22"/>
        <v/>
      </c>
      <c r="AB30" t="str">
        <f t="shared" si="22"/>
        <v/>
      </c>
      <c r="AC30" t="str">
        <f t="shared" si="22"/>
        <v/>
      </c>
      <c r="AD30" t="str">
        <f t="shared" si="22"/>
        <v/>
      </c>
      <c r="AE30" t="str">
        <f t="shared" si="22"/>
        <v/>
      </c>
      <c r="AF30" t="str">
        <f t="shared" si="22"/>
        <v/>
      </c>
      <c r="AG30" t="str">
        <f t="shared" si="22"/>
        <v/>
      </c>
      <c r="AH30" t="str">
        <f t="shared" si="22"/>
        <v/>
      </c>
      <c r="AI30" t="str">
        <f t="shared" si="22"/>
        <v/>
      </c>
      <c r="AJ30" t="str">
        <f t="shared" si="22"/>
        <v/>
      </c>
      <c r="AK30" t="str">
        <f t="shared" si="22"/>
        <v/>
      </c>
      <c r="AL30" t="str">
        <f t="shared" si="22"/>
        <v/>
      </c>
      <c r="AM30" t="str">
        <f t="shared" si="22"/>
        <v/>
      </c>
      <c r="AN30" t="str">
        <f t="shared" si="22"/>
        <v/>
      </c>
      <c r="AO30" t="str">
        <f t="shared" si="22"/>
        <v/>
      </c>
      <c r="AP30" t="str">
        <f t="shared" si="22"/>
        <v/>
      </c>
      <c r="AQ30" t="str">
        <f t="shared" si="22"/>
        <v/>
      </c>
      <c r="AR30" t="str">
        <f t="shared" si="22"/>
        <v/>
      </c>
      <c r="AS30" t="str">
        <f t="shared" si="22"/>
        <v/>
      </c>
      <c r="AT30" t="str">
        <f t="shared" si="22"/>
        <v/>
      </c>
      <c r="AU30" t="str">
        <f t="shared" si="22"/>
        <v/>
      </c>
      <c r="AV30" t="str">
        <f t="shared" si="22"/>
        <v/>
      </c>
      <c r="AW30" t="str">
        <f t="shared" si="22"/>
        <v/>
      </c>
      <c r="AX30" t="str">
        <f t="shared" si="22"/>
        <v/>
      </c>
      <c r="AY30" t="str">
        <f t="shared" si="22"/>
        <v/>
      </c>
      <c r="AZ30" t="str">
        <f t="shared" si="22"/>
        <v/>
      </c>
      <c r="BA30" t="str">
        <f t="shared" si="22"/>
        <v/>
      </c>
      <c r="BB30" t="str">
        <f t="shared" si="22"/>
        <v/>
      </c>
      <c r="BC30" t="str">
        <f t="shared" si="22"/>
        <v/>
      </c>
      <c r="BD30" t="str">
        <f t="shared" si="22"/>
        <v/>
      </c>
      <c r="BE30" t="str">
        <f t="shared" si="22"/>
        <v/>
      </c>
      <c r="BF30" t="str">
        <f t="shared" si="22"/>
        <v/>
      </c>
      <c r="BG30" t="str">
        <f t="shared" si="22"/>
        <v/>
      </c>
      <c r="BH30" t="str">
        <f t="shared" si="22"/>
        <v/>
      </c>
      <c r="BI30" t="str">
        <f t="shared" si="22"/>
        <v/>
      </c>
      <c r="BJ30" t="str">
        <f t="shared" si="22"/>
        <v/>
      </c>
      <c r="BK30" t="str">
        <f t="shared" si="22"/>
        <v/>
      </c>
      <c r="BL30" t="str">
        <f t="shared" si="22"/>
        <v/>
      </c>
      <c r="BM30" t="str">
        <f t="shared" si="22"/>
        <v/>
      </c>
      <c r="BN30" t="str">
        <f t="shared" si="22"/>
        <v/>
      </c>
      <c r="BO30" t="str">
        <f t="shared" si="22"/>
        <v/>
      </c>
      <c r="BP30" t="str">
        <f t="shared" si="22"/>
        <v/>
      </c>
      <c r="BQ30" t="str">
        <f t="shared" si="22"/>
        <v/>
      </c>
      <c r="BR30" t="str">
        <f t="shared" si="22"/>
        <v/>
      </c>
      <c r="BS30" t="str">
        <f t="shared" si="22"/>
        <v/>
      </c>
      <c r="BT30" t="str">
        <f t="shared" si="22"/>
        <v/>
      </c>
      <c r="BU30" t="str">
        <f t="shared" si="22"/>
        <v/>
      </c>
      <c r="BV30" t="str">
        <f t="shared" si="22"/>
        <v/>
      </c>
      <c r="BW30" t="str">
        <f t="shared" si="22"/>
        <v/>
      </c>
      <c r="BX30" t="str">
        <f t="shared" si="22"/>
        <v/>
      </c>
      <c r="BY30" t="str">
        <f t="shared" ref="BY30:CJ31" si="23">IF($C30="","",IF(AND($J30&lt;=BY$4,$K30&gt;=BY$4),"X",""))</f>
        <v/>
      </c>
      <c r="BZ30" t="str">
        <f t="shared" si="23"/>
        <v/>
      </c>
      <c r="CA30" t="str">
        <f t="shared" si="23"/>
        <v/>
      </c>
      <c r="CB30" t="str">
        <f t="shared" si="23"/>
        <v/>
      </c>
      <c r="CC30" t="str">
        <f t="shared" si="23"/>
        <v/>
      </c>
      <c r="CD30" t="str">
        <f t="shared" si="23"/>
        <v>X</v>
      </c>
      <c r="CE30" t="str">
        <f t="shared" si="23"/>
        <v>X</v>
      </c>
      <c r="CF30" t="str">
        <f t="shared" si="23"/>
        <v>X</v>
      </c>
      <c r="CG30" t="str">
        <f t="shared" si="23"/>
        <v>X</v>
      </c>
      <c r="CH30" t="str">
        <f t="shared" si="23"/>
        <v>X</v>
      </c>
      <c r="CI30" t="str">
        <f t="shared" si="23"/>
        <v>X</v>
      </c>
      <c r="CJ30" t="str">
        <f t="shared" si="23"/>
        <v>X</v>
      </c>
    </row>
    <row r="31" spans="1:88" ht="26.25" customHeight="1">
      <c r="A31" s="6">
        <v>7.2</v>
      </c>
      <c r="B31" s="6" t="s">
        <v>74</v>
      </c>
      <c r="C31" s="6" t="s">
        <v>77</v>
      </c>
      <c r="D31" s="6" t="s">
        <v>78</v>
      </c>
      <c r="E31" s="6" t="s">
        <v>16</v>
      </c>
      <c r="F31" s="6">
        <v>7.1</v>
      </c>
      <c r="G31" s="6" t="str">
        <f t="shared" si="13"/>
        <v>Week 11</v>
      </c>
      <c r="H31" s="6" t="str">
        <f t="shared" si="5"/>
        <v>Week 11</v>
      </c>
      <c r="I31" s="6">
        <f t="shared" si="6"/>
        <v>7</v>
      </c>
      <c r="J31" s="9">
        <v>46245</v>
      </c>
      <c r="K31" s="9">
        <v>46251</v>
      </c>
      <c r="L31" t="str">
        <f>IF($C30="","",IF(AND($J30&lt;=L$4,$K30&gt;=L$4),"X",""))</f>
        <v/>
      </c>
      <c r="M31" t="str">
        <f t="shared" ref="M31:BX31" si="24">IF($C30="","",IF(AND($J30&lt;=M$4,$K30&gt;=M$4),"X",""))</f>
        <v/>
      </c>
      <c r="N31" t="str">
        <f t="shared" si="24"/>
        <v/>
      </c>
      <c r="O31" t="str">
        <f t="shared" si="24"/>
        <v/>
      </c>
      <c r="P31" t="str">
        <f t="shared" si="24"/>
        <v/>
      </c>
      <c r="Q31" t="str">
        <f t="shared" si="24"/>
        <v/>
      </c>
      <c r="R31" t="str">
        <f t="shared" si="24"/>
        <v/>
      </c>
      <c r="S31" t="str">
        <f t="shared" si="24"/>
        <v/>
      </c>
      <c r="T31" t="str">
        <f t="shared" si="24"/>
        <v/>
      </c>
      <c r="U31" t="str">
        <f t="shared" si="24"/>
        <v/>
      </c>
      <c r="V31" t="str">
        <f t="shared" si="24"/>
        <v/>
      </c>
      <c r="W31" t="str">
        <f t="shared" si="24"/>
        <v/>
      </c>
      <c r="X31" t="str">
        <f t="shared" si="24"/>
        <v/>
      </c>
      <c r="Y31" t="str">
        <f t="shared" si="24"/>
        <v/>
      </c>
      <c r="Z31" t="str">
        <f t="shared" si="24"/>
        <v/>
      </c>
      <c r="AA31" t="str">
        <f t="shared" si="24"/>
        <v/>
      </c>
      <c r="AB31" t="str">
        <f t="shared" si="24"/>
        <v/>
      </c>
      <c r="AC31" t="str">
        <f t="shared" si="24"/>
        <v/>
      </c>
      <c r="AD31" t="str">
        <f t="shared" si="24"/>
        <v/>
      </c>
      <c r="AE31" t="str">
        <f t="shared" si="24"/>
        <v/>
      </c>
      <c r="AF31" t="str">
        <f t="shared" si="24"/>
        <v/>
      </c>
      <c r="AG31" t="str">
        <f t="shared" si="24"/>
        <v/>
      </c>
      <c r="AH31" t="str">
        <f t="shared" si="24"/>
        <v/>
      </c>
      <c r="AI31" t="str">
        <f t="shared" si="24"/>
        <v/>
      </c>
      <c r="AJ31" t="str">
        <f t="shared" si="24"/>
        <v/>
      </c>
      <c r="AK31" t="str">
        <f t="shared" si="24"/>
        <v/>
      </c>
      <c r="AL31" t="str">
        <f t="shared" si="24"/>
        <v/>
      </c>
      <c r="AM31" t="str">
        <f t="shared" si="24"/>
        <v/>
      </c>
      <c r="AN31" t="str">
        <f t="shared" si="24"/>
        <v/>
      </c>
      <c r="AO31" t="str">
        <f t="shared" si="24"/>
        <v/>
      </c>
      <c r="AP31" t="str">
        <f t="shared" si="24"/>
        <v/>
      </c>
      <c r="AQ31" t="str">
        <f t="shared" si="24"/>
        <v/>
      </c>
      <c r="AR31" t="str">
        <f t="shared" si="24"/>
        <v/>
      </c>
      <c r="AS31" t="str">
        <f t="shared" si="24"/>
        <v/>
      </c>
      <c r="AT31" t="str">
        <f t="shared" si="24"/>
        <v/>
      </c>
      <c r="AU31" t="str">
        <f t="shared" si="24"/>
        <v/>
      </c>
      <c r="AV31" t="str">
        <f t="shared" si="24"/>
        <v/>
      </c>
      <c r="AW31" t="str">
        <f t="shared" si="24"/>
        <v/>
      </c>
      <c r="AX31" t="str">
        <f t="shared" si="24"/>
        <v/>
      </c>
      <c r="AY31" t="str">
        <f t="shared" si="24"/>
        <v/>
      </c>
      <c r="AZ31" t="str">
        <f t="shared" si="24"/>
        <v/>
      </c>
      <c r="BA31" t="str">
        <f t="shared" si="24"/>
        <v/>
      </c>
      <c r="BB31" t="str">
        <f t="shared" si="24"/>
        <v/>
      </c>
      <c r="BC31" t="str">
        <f t="shared" si="24"/>
        <v/>
      </c>
      <c r="BD31" t="str">
        <f t="shared" si="24"/>
        <v/>
      </c>
      <c r="BE31" t="str">
        <f t="shared" si="24"/>
        <v/>
      </c>
      <c r="BF31" t="str">
        <f t="shared" si="24"/>
        <v/>
      </c>
      <c r="BG31" t="str">
        <f t="shared" si="24"/>
        <v/>
      </c>
      <c r="BH31" t="str">
        <f t="shared" si="24"/>
        <v/>
      </c>
      <c r="BI31" t="str">
        <f t="shared" si="24"/>
        <v/>
      </c>
      <c r="BJ31" t="str">
        <f t="shared" si="24"/>
        <v/>
      </c>
      <c r="BK31" t="str">
        <f t="shared" si="24"/>
        <v/>
      </c>
      <c r="BL31" t="str">
        <f t="shared" si="24"/>
        <v/>
      </c>
      <c r="BM31" t="str">
        <f t="shared" si="24"/>
        <v/>
      </c>
      <c r="BN31" t="str">
        <f t="shared" si="24"/>
        <v/>
      </c>
      <c r="BO31" t="str">
        <f t="shared" si="24"/>
        <v/>
      </c>
      <c r="BP31" t="str">
        <f t="shared" si="24"/>
        <v/>
      </c>
      <c r="BQ31" t="str">
        <f t="shared" si="24"/>
        <v/>
      </c>
      <c r="BR31" t="str">
        <f t="shared" si="24"/>
        <v/>
      </c>
      <c r="BS31" t="str">
        <f t="shared" si="24"/>
        <v/>
      </c>
      <c r="BT31" t="str">
        <f t="shared" si="24"/>
        <v/>
      </c>
      <c r="BU31" t="str">
        <f t="shared" si="24"/>
        <v/>
      </c>
      <c r="BV31" t="str">
        <f t="shared" si="24"/>
        <v/>
      </c>
      <c r="BW31" t="str">
        <f t="shared" si="24"/>
        <v/>
      </c>
      <c r="BX31" t="str">
        <f t="shared" si="24"/>
        <v/>
      </c>
      <c r="BY31" t="str">
        <f t="shared" ref="BY31:CJ31" si="25">IF($C30="","",IF(AND($J30&lt;=BY$4,$K30&gt;=BY$4),"X",""))</f>
        <v/>
      </c>
      <c r="BZ31" t="str">
        <f t="shared" si="25"/>
        <v/>
      </c>
      <c r="CA31" t="str">
        <f t="shared" si="25"/>
        <v/>
      </c>
      <c r="CB31" t="str">
        <f t="shared" si="25"/>
        <v/>
      </c>
      <c r="CC31" t="str">
        <f t="shared" si="25"/>
        <v/>
      </c>
      <c r="CD31" t="str">
        <f t="shared" si="23"/>
        <v>X</v>
      </c>
      <c r="CE31" t="str">
        <f t="shared" si="23"/>
        <v>X</v>
      </c>
      <c r="CF31" t="str">
        <f t="shared" si="23"/>
        <v>X</v>
      </c>
      <c r="CG31" t="str">
        <f t="shared" si="23"/>
        <v>X</v>
      </c>
      <c r="CH31" t="str">
        <f t="shared" si="23"/>
        <v>X</v>
      </c>
      <c r="CI31" t="str">
        <f t="shared" si="23"/>
        <v>X</v>
      </c>
      <c r="CJ31" t="str">
        <f t="shared" si="23"/>
        <v>X</v>
      </c>
    </row>
    <row r="32" spans="1:88">
      <c r="A32" s="1"/>
      <c r="B32" s="1"/>
      <c r="C32" s="1"/>
      <c r="D32" s="1"/>
      <c r="E32" s="1"/>
      <c r="F32" s="1"/>
      <c r="G32" s="1"/>
      <c r="H32" s="1"/>
      <c r="I32" s="1"/>
    </row>
  </sheetData>
  <mergeCells count="19">
    <mergeCell ref="A29:K29"/>
    <mergeCell ref="A13:K13"/>
    <mergeCell ref="A9:K9"/>
    <mergeCell ref="B1:I2"/>
    <mergeCell ref="A5:I5"/>
    <mergeCell ref="A16:K16"/>
    <mergeCell ref="A26:K26"/>
    <mergeCell ref="A23:K23"/>
    <mergeCell ref="L3:R3"/>
    <mergeCell ref="CD3:CJ3"/>
    <mergeCell ref="BW3:CC3"/>
    <mergeCell ref="BP3:BV3"/>
    <mergeCell ref="BI3:BO3"/>
    <mergeCell ref="BB3:BH3"/>
    <mergeCell ref="AU3:BA3"/>
    <mergeCell ref="AN3:AT3"/>
    <mergeCell ref="AG3:AM3"/>
    <mergeCell ref="Z3:AF3"/>
    <mergeCell ref="S3:Y3"/>
  </mergeCells>
  <conditionalFormatting sqref="L6:L8">
    <cfRule type="expression" dxfId="9" priority="10">
      <formula>L6="X"</formula>
    </cfRule>
  </conditionalFormatting>
  <conditionalFormatting sqref="L10:R10">
    <cfRule type="expression" dxfId="8" priority="9">
      <formula>L10="X"</formula>
    </cfRule>
  </conditionalFormatting>
  <conditionalFormatting sqref="S11:Y11">
    <cfRule type="expression" dxfId="7" priority="8">
      <formula>S11="X"</formula>
    </cfRule>
  </conditionalFormatting>
  <conditionalFormatting sqref="S12:Y12">
    <cfRule type="expression" dxfId="6" priority="6">
      <formula>S12="X"</formula>
    </cfRule>
    <cfRule type="expression" dxfId="5" priority="7">
      <formula>S13="X"</formula>
    </cfRule>
  </conditionalFormatting>
  <conditionalFormatting sqref="Z14:AF15">
    <cfRule type="expression" dxfId="4" priority="5">
      <formula>Z14="X"</formula>
    </cfRule>
  </conditionalFormatting>
  <conditionalFormatting sqref="AG17:AM18 AN18:AT18 AN19:BA19 AU20:BH20 BB21:BH22 BI22:BO22">
    <cfRule type="expression" dxfId="3" priority="4">
      <formula>AG17="X"</formula>
    </cfRule>
  </conditionalFormatting>
  <conditionalFormatting sqref="BP24:BV25">
    <cfRule type="expression" dxfId="2" priority="3">
      <formula>BP24="X"</formula>
    </cfRule>
  </conditionalFormatting>
  <conditionalFormatting sqref="BW27:CC28">
    <cfRule type="expression" dxfId="1" priority="2">
      <formula>BW27="X"</formula>
    </cfRule>
  </conditionalFormatting>
  <conditionalFormatting sqref="CD30:CJ31">
    <cfRule type="expression" dxfId="0" priority="1">
      <formula>CD30="X"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LARAIB NAVEED</dc:creator>
  <cp:keywords/>
  <dc:description/>
  <cp:lastModifiedBy/>
  <cp:revision/>
  <dcterms:created xsi:type="dcterms:W3CDTF">2026-06-05T13:33:37Z</dcterms:created>
  <dcterms:modified xsi:type="dcterms:W3CDTF">2026-06-07T05:25:17Z</dcterms:modified>
  <cp:category/>
  <cp:contentStatus/>
</cp:coreProperties>
</file>