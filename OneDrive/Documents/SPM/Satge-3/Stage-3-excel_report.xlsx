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0" documentId="8_{DDB2683F-CCEA-49C0-9170-20114978C1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source List" sheetId="1" r:id="rId1"/>
    <sheet name="Resource Assigned" sheetId="2" r:id="rId2"/>
    <sheet name="Working Hou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3" l="1"/>
  <c r="D10" i="3"/>
  <c r="D9" i="3"/>
  <c r="D8" i="3"/>
  <c r="D7" i="3"/>
  <c r="D6" i="3"/>
  <c r="D5" i="3"/>
  <c r="D13" i="3" s="1"/>
  <c r="D26" i="1"/>
  <c r="D19" i="1"/>
  <c r="D20" i="1"/>
  <c r="D21" i="1"/>
  <c r="D22" i="1"/>
  <c r="D23" i="1"/>
  <c r="D24" i="1"/>
  <c r="D18" i="1"/>
</calcChain>
</file>

<file path=xl/sharedStrings.xml><?xml version="1.0" encoding="utf-8"?>
<sst xmlns="http://schemas.openxmlformats.org/spreadsheetml/2006/main" count="164" uniqueCount="76">
  <si>
    <t>Resource Sheet</t>
  </si>
  <si>
    <t>Resource Assigned</t>
  </si>
  <si>
    <t>Resource Name</t>
  </si>
  <si>
    <t>Type</t>
  </si>
  <si>
    <t>Std Rate</t>
  </si>
  <si>
    <t>Role</t>
  </si>
  <si>
    <t>Max unit</t>
  </si>
  <si>
    <t>Task /Resource Name</t>
  </si>
  <si>
    <t>Assigned Resource</t>
  </si>
  <si>
    <t>Project Manager</t>
  </si>
  <si>
    <t>work</t>
  </si>
  <si>
    <t>1000/hr</t>
  </si>
  <si>
    <t>Managemnet</t>
  </si>
  <si>
    <t>Project Idea Selection</t>
  </si>
  <si>
    <t>Business Analyst</t>
  </si>
  <si>
    <t>800/hr</t>
  </si>
  <si>
    <t>Planning</t>
  </si>
  <si>
    <t>Project Proposal Preparation</t>
  </si>
  <si>
    <t>UI/UX Designer</t>
  </si>
  <si>
    <t>700/hr</t>
  </si>
  <si>
    <t>Design</t>
  </si>
  <si>
    <t>Project Charter Development</t>
  </si>
  <si>
    <t>Frontend Developer</t>
  </si>
  <si>
    <t>900/hr</t>
  </si>
  <si>
    <t>Development</t>
  </si>
  <si>
    <t>Requirement Gathering</t>
  </si>
  <si>
    <t>Backend Developer</t>
  </si>
  <si>
    <t>System Analysis &amp; Risk Identification</t>
  </si>
  <si>
    <t>QA Engineer</t>
  </si>
  <si>
    <t>600/hr</t>
  </si>
  <si>
    <t>Testing</t>
  </si>
  <si>
    <t>Budget &amp; Resource Planning</t>
  </si>
  <si>
    <t>DevOps Engineer</t>
  </si>
  <si>
    <t>850/hr</t>
  </si>
  <si>
    <t>Deploymnet</t>
  </si>
  <si>
    <t>UI/UX Design</t>
  </si>
  <si>
    <t>Ui/UX Designer</t>
  </si>
  <si>
    <t>Database &amp; Architecture Design</t>
  </si>
  <si>
    <t>Ui/UX Designer, Backend Developer</t>
  </si>
  <si>
    <t>Patient Registration &amp; Login Module</t>
  </si>
  <si>
    <t>Backend Developer , DevOps, Frontendend Developer</t>
  </si>
  <si>
    <t>Online Doctor Consultation Module</t>
  </si>
  <si>
    <t>Medicine Ordering &amp; Delivery Module</t>
  </si>
  <si>
    <t>Working Hours</t>
  </si>
  <si>
    <t>Lab Test Booking &amp; Report Module</t>
  </si>
  <si>
    <t>Backend Developer , Frontendend Developer</t>
  </si>
  <si>
    <t>Payment &amp; Notification System</t>
  </si>
  <si>
    <t>Resource</t>
  </si>
  <si>
    <t>Est Date</t>
  </si>
  <si>
    <t>Working Hrs</t>
  </si>
  <si>
    <t>Admin Dashboard Development</t>
  </si>
  <si>
    <t>Unit &amp; Integration Testing</t>
  </si>
  <si>
    <t>QA Enginer</t>
  </si>
  <si>
    <t>User Acceptance Testing</t>
  </si>
  <si>
    <t>Cloud Setup &amp; App Deployment</t>
  </si>
  <si>
    <t>DevOps Enginer</t>
  </si>
  <si>
    <t>User Training</t>
  </si>
  <si>
    <t>Documentation Submission</t>
  </si>
  <si>
    <t>Final Project Review &amp; Sign-off</t>
  </si>
  <si>
    <t>Total Working hours</t>
  </si>
  <si>
    <t>OverAllocation Resources</t>
  </si>
  <si>
    <t xml:space="preserve">overallocated Resource </t>
  </si>
  <si>
    <t>Problem Task</t>
  </si>
  <si>
    <t>Overallocteed Detail</t>
  </si>
  <si>
    <t>Solution applied</t>
  </si>
  <si>
    <t>Status</t>
  </si>
  <si>
    <t>No Overallocataion</t>
  </si>
  <si>
    <t>Resource demand 75% exceeded</t>
  </si>
  <si>
    <t>Resource Level (Level All)</t>
  </si>
  <si>
    <t>Resolved</t>
  </si>
  <si>
    <t>4.1,4.2,4.3,6.1</t>
  </si>
  <si>
    <t>Assigned beyond 70% max unit</t>
  </si>
  <si>
    <t>Issue</t>
  </si>
  <si>
    <t>Sol</t>
  </si>
  <si>
    <t>Resource overallocation detected</t>
  </si>
  <si>
    <t>Resolved using Resource Leveing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</si>
</sst>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rgb="FF000000"/>
      <name val="Times New Roman"/>
      <charset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5" xfId="0" applyBorder="1"/>
    <xf numFmtId="9" fontId="0" fillId="0" borderId="6" xfId="0" applyNumberFormat="1" applyBorder="1"/>
    <xf numFmtId="0" fontId="0" fillId="0" borderId="7" xfId="0" applyBorder="1"/>
    <xf numFmtId="0" fontId="0" fillId="0" borderId="8" xfId="0" applyBorder="1"/>
    <xf numFmtId="9" fontId="0" fillId="0" borderId="9" xfId="0" applyNumberForma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15" xfId="0" applyFont="1" applyBorder="1"/>
    <xf numFmtId="0" fontId="0" fillId="0" borderId="16" xfId="0" applyBorder="1"/>
    <xf numFmtId="0" fontId="0" fillId="0" borderId="14" xfId="0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6" fillId="0" borderId="16" xfId="0" applyFont="1" applyBorder="1"/>
    <xf numFmtId="0" fontId="0" fillId="0" borderId="27" xfId="0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1" fillId="4" borderId="16" xfId="0" applyFont="1" applyFill="1" applyBorder="1"/>
    <xf numFmtId="0" fontId="0" fillId="0" borderId="28" xfId="0" applyBorder="1"/>
    <xf numFmtId="0" fontId="0" fillId="0" borderId="22" xfId="0" applyBorder="1"/>
    <xf numFmtId="0" fontId="8" fillId="0" borderId="1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4" xfId="0" applyBorder="1"/>
    <xf numFmtId="0" fontId="0" fillId="0" borderId="29" xfId="0" applyBorder="1"/>
    <xf numFmtId="0" fontId="1" fillId="4" borderId="28" xfId="0" applyFont="1" applyFill="1" applyBorder="1"/>
    <xf numFmtId="0" fontId="3" fillId="2" borderId="0" xfId="0" applyFont="1" applyFill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0"/>
  <sheetViews>
    <sheetView tabSelected="1" workbookViewId="0">
      <selection activeCell="G17" sqref="G17"/>
    </sheetView>
  </sheetViews>
  <sheetFormatPr defaultRowHeight="15"/>
  <cols>
    <col min="2" max="2" width="23.7109375" customWidth="1"/>
    <col min="3" max="3" width="17.5703125" customWidth="1"/>
    <col min="4" max="4" width="26.140625" customWidth="1"/>
    <col min="5" max="5" width="16.5703125" customWidth="1"/>
    <col min="6" max="6" width="11.85546875" customWidth="1"/>
    <col min="11" max="11" width="38" customWidth="1"/>
    <col min="12" max="12" width="49.5703125" customWidth="1"/>
  </cols>
  <sheetData>
    <row r="1" spans="2:12">
      <c r="B1" s="22" t="s">
        <v>0</v>
      </c>
      <c r="C1" s="23"/>
      <c r="D1" s="23"/>
      <c r="E1" s="24"/>
      <c r="F1" s="25"/>
      <c r="K1" s="30" t="s">
        <v>1</v>
      </c>
      <c r="L1" s="30"/>
    </row>
    <row r="2" spans="2:12">
      <c r="B2" s="26"/>
      <c r="C2" s="27"/>
      <c r="D2" s="27"/>
      <c r="E2" s="28"/>
      <c r="F2" s="29"/>
      <c r="K2" s="30"/>
      <c r="L2" s="30"/>
    </row>
    <row r="3" spans="2:12" ht="24" customHeight="1">
      <c r="B3" s="7" t="s">
        <v>2</v>
      </c>
      <c r="C3" s="8" t="s">
        <v>3</v>
      </c>
      <c r="D3" s="8" t="s">
        <v>4</v>
      </c>
      <c r="E3" s="12" t="s">
        <v>5</v>
      </c>
      <c r="F3" s="9" t="s">
        <v>6</v>
      </c>
      <c r="K3" s="11" t="s">
        <v>7</v>
      </c>
      <c r="L3" s="11" t="s">
        <v>8</v>
      </c>
    </row>
    <row r="4" spans="2:12">
      <c r="B4" s="2" t="s">
        <v>9</v>
      </c>
      <c r="C4" s="1" t="s">
        <v>10</v>
      </c>
      <c r="D4" s="1" t="s">
        <v>11</v>
      </c>
      <c r="E4" s="13" t="s">
        <v>12</v>
      </c>
      <c r="F4" s="3">
        <v>0.75</v>
      </c>
      <c r="K4" s="1" t="s">
        <v>13</v>
      </c>
      <c r="L4" s="1" t="s">
        <v>9</v>
      </c>
    </row>
    <row r="5" spans="2:12" ht="15.75">
      <c r="B5" s="2" t="s">
        <v>14</v>
      </c>
      <c r="C5" s="1" t="s">
        <v>10</v>
      </c>
      <c r="D5" s="1" t="s">
        <v>15</v>
      </c>
      <c r="E5" s="13" t="s">
        <v>16</v>
      </c>
      <c r="F5" s="3">
        <v>1</v>
      </c>
      <c r="K5" s="10" t="s">
        <v>17</v>
      </c>
      <c r="L5" s="1" t="s">
        <v>9</v>
      </c>
    </row>
    <row r="6" spans="2:12" ht="15.75">
      <c r="B6" s="2" t="s">
        <v>18</v>
      </c>
      <c r="C6" s="1" t="s">
        <v>10</v>
      </c>
      <c r="D6" s="1" t="s">
        <v>19</v>
      </c>
      <c r="E6" s="13" t="s">
        <v>20</v>
      </c>
      <c r="F6" s="3">
        <v>1</v>
      </c>
      <c r="K6" s="10" t="s">
        <v>21</v>
      </c>
      <c r="L6" s="1" t="s">
        <v>9</v>
      </c>
    </row>
    <row r="7" spans="2:12" ht="15.75">
      <c r="B7" s="2" t="s">
        <v>22</v>
      </c>
      <c r="C7" s="1" t="s">
        <v>10</v>
      </c>
      <c r="D7" s="1" t="s">
        <v>23</v>
      </c>
      <c r="E7" s="13" t="s">
        <v>24</v>
      </c>
      <c r="F7" s="3">
        <v>1</v>
      </c>
      <c r="K7" s="10" t="s">
        <v>25</v>
      </c>
      <c r="L7" s="1" t="s">
        <v>14</v>
      </c>
    </row>
    <row r="8" spans="2:12" ht="15.75">
      <c r="B8" s="2" t="s">
        <v>26</v>
      </c>
      <c r="C8" s="1" t="s">
        <v>10</v>
      </c>
      <c r="D8" s="1" t="s">
        <v>23</v>
      </c>
      <c r="E8" s="13" t="s">
        <v>24</v>
      </c>
      <c r="F8" s="3">
        <v>1</v>
      </c>
      <c r="K8" s="10" t="s">
        <v>27</v>
      </c>
      <c r="L8" s="1" t="s">
        <v>14</v>
      </c>
    </row>
    <row r="9" spans="2:12" ht="15.75">
      <c r="B9" s="2" t="s">
        <v>28</v>
      </c>
      <c r="C9" s="1" t="s">
        <v>10</v>
      </c>
      <c r="D9" s="1" t="s">
        <v>29</v>
      </c>
      <c r="E9" s="13" t="s">
        <v>30</v>
      </c>
      <c r="F9" s="3">
        <v>1</v>
      </c>
      <c r="K9" s="10" t="s">
        <v>31</v>
      </c>
      <c r="L9" s="1" t="s">
        <v>9</v>
      </c>
    </row>
    <row r="10" spans="2:12" ht="15.75">
      <c r="B10" s="4" t="s">
        <v>32</v>
      </c>
      <c r="C10" s="5" t="s">
        <v>10</v>
      </c>
      <c r="D10" s="5" t="s">
        <v>33</v>
      </c>
      <c r="E10" s="14" t="s">
        <v>34</v>
      </c>
      <c r="F10" s="6">
        <v>0.7</v>
      </c>
      <c r="K10" s="10" t="s">
        <v>35</v>
      </c>
      <c r="L10" s="1" t="s">
        <v>36</v>
      </c>
    </row>
    <row r="11" spans="2:12" ht="15.75">
      <c r="K11" s="10" t="s">
        <v>37</v>
      </c>
      <c r="L11" s="1" t="s">
        <v>38</v>
      </c>
    </row>
    <row r="12" spans="2:12" ht="15.75">
      <c r="K12" s="10" t="s">
        <v>39</v>
      </c>
      <c r="L12" s="1" t="s">
        <v>40</v>
      </c>
    </row>
    <row r="13" spans="2:12" ht="15.75">
      <c r="K13" s="10" t="s">
        <v>41</v>
      </c>
      <c r="L13" s="1" t="s">
        <v>40</v>
      </c>
    </row>
    <row r="14" spans="2:12" ht="15.75">
      <c r="K14" s="10" t="s">
        <v>42</v>
      </c>
      <c r="L14" s="1" t="s">
        <v>40</v>
      </c>
    </row>
    <row r="15" spans="2:12" ht="15.75">
      <c r="B15" s="31" t="s">
        <v>43</v>
      </c>
      <c r="C15" s="32"/>
      <c r="D15" s="33"/>
      <c r="K15" s="10" t="s">
        <v>44</v>
      </c>
      <c r="L15" s="1" t="s">
        <v>45</v>
      </c>
    </row>
    <row r="16" spans="2:12" ht="15.75">
      <c r="B16" s="34"/>
      <c r="C16" s="35"/>
      <c r="D16" s="36"/>
      <c r="K16" s="10" t="s">
        <v>46</v>
      </c>
      <c r="L16" s="1" t="s">
        <v>45</v>
      </c>
    </row>
    <row r="17" spans="2:12" ht="15.75">
      <c r="B17" s="15" t="s">
        <v>47</v>
      </c>
      <c r="C17" s="16" t="s">
        <v>48</v>
      </c>
      <c r="D17" s="17" t="s">
        <v>49</v>
      </c>
      <c r="K17" s="10" t="s">
        <v>50</v>
      </c>
      <c r="L17" s="1" t="s">
        <v>45</v>
      </c>
    </row>
    <row r="18" spans="2:12" ht="15.75">
      <c r="B18" s="18" t="s">
        <v>9</v>
      </c>
      <c r="C18" s="1">
        <v>31</v>
      </c>
      <c r="D18" s="1">
        <f>C18*8</f>
        <v>248</v>
      </c>
      <c r="K18" s="10" t="s">
        <v>51</v>
      </c>
      <c r="L18" s="1" t="s">
        <v>52</v>
      </c>
    </row>
    <row r="19" spans="2:12" ht="15.75">
      <c r="B19" s="18" t="s">
        <v>14</v>
      </c>
      <c r="C19" s="1">
        <v>14</v>
      </c>
      <c r="D19" s="1">
        <f t="shared" ref="D19:D24" si="0">C19*8</f>
        <v>112</v>
      </c>
      <c r="K19" s="10" t="s">
        <v>53</v>
      </c>
      <c r="L19" s="1" t="s">
        <v>52</v>
      </c>
    </row>
    <row r="20" spans="2:12" ht="15.75">
      <c r="B20" s="18" t="s">
        <v>18</v>
      </c>
      <c r="C20" s="1">
        <v>7</v>
      </c>
      <c r="D20" s="1">
        <f t="shared" si="0"/>
        <v>56</v>
      </c>
      <c r="K20" s="10" t="s">
        <v>54</v>
      </c>
      <c r="L20" s="1" t="s">
        <v>55</v>
      </c>
    </row>
    <row r="21" spans="2:12" ht="15.75">
      <c r="B21" s="18" t="s">
        <v>22</v>
      </c>
      <c r="C21" s="1">
        <v>70</v>
      </c>
      <c r="D21" s="1">
        <f t="shared" si="0"/>
        <v>560</v>
      </c>
      <c r="K21" s="10" t="s">
        <v>56</v>
      </c>
      <c r="L21" s="1" t="s">
        <v>9</v>
      </c>
    </row>
    <row r="22" spans="2:12" ht="15.75">
      <c r="B22" s="18" t="s">
        <v>26</v>
      </c>
      <c r="C22" s="1">
        <v>77</v>
      </c>
      <c r="D22" s="1">
        <f t="shared" si="0"/>
        <v>616</v>
      </c>
      <c r="K22" s="10" t="s">
        <v>57</v>
      </c>
      <c r="L22" s="1" t="s">
        <v>9</v>
      </c>
    </row>
    <row r="23" spans="2:12" ht="15.75">
      <c r="B23" s="18" t="s">
        <v>28</v>
      </c>
      <c r="C23" s="1">
        <v>14</v>
      </c>
      <c r="D23" s="1">
        <f t="shared" si="0"/>
        <v>112</v>
      </c>
      <c r="K23" s="10" t="s">
        <v>58</v>
      </c>
      <c r="L23" s="1" t="s">
        <v>9</v>
      </c>
    </row>
    <row r="24" spans="2:12" ht="15.75">
      <c r="B24" s="18" t="s">
        <v>32</v>
      </c>
      <c r="C24" s="1">
        <v>21</v>
      </c>
      <c r="D24" s="1">
        <f t="shared" si="0"/>
        <v>168</v>
      </c>
    </row>
    <row r="26" spans="2:12" ht="17.25">
      <c r="B26" s="37" t="s">
        <v>59</v>
      </c>
      <c r="C26" s="38"/>
      <c r="D26" s="19">
        <f>SUM(D18:D24)</f>
        <v>1872</v>
      </c>
    </row>
    <row r="28" spans="2:12">
      <c r="B28" s="48" t="s">
        <v>60</v>
      </c>
      <c r="C28" s="48"/>
      <c r="D28" s="48"/>
      <c r="E28" s="48"/>
      <c r="F28" s="48"/>
    </row>
    <row r="29" spans="2:12">
      <c r="B29" s="49"/>
      <c r="C29" s="49"/>
      <c r="D29" s="49"/>
      <c r="E29" s="49"/>
      <c r="F29" s="49"/>
    </row>
    <row r="30" spans="2:12">
      <c r="B30" s="20" t="s">
        <v>61</v>
      </c>
      <c r="C30" s="39" t="s">
        <v>62</v>
      </c>
      <c r="D30" s="20" t="s">
        <v>63</v>
      </c>
      <c r="E30" s="47" t="s">
        <v>64</v>
      </c>
      <c r="F30" s="20" t="s">
        <v>65</v>
      </c>
    </row>
    <row r="31" spans="2:12" ht="27" customHeight="1">
      <c r="B31" s="40" t="s">
        <v>9</v>
      </c>
      <c r="C31" s="41" t="s">
        <v>66</v>
      </c>
      <c r="D31" s="43" t="s">
        <v>67</v>
      </c>
      <c r="E31" s="21" t="s">
        <v>68</v>
      </c>
      <c r="F31" s="45" t="s">
        <v>69</v>
      </c>
    </row>
    <row r="32" spans="2:12" ht="30" customHeight="1">
      <c r="B32" s="1" t="s">
        <v>32</v>
      </c>
      <c r="C32" s="1" t="s">
        <v>70</v>
      </c>
      <c r="D32" s="44" t="s">
        <v>71</v>
      </c>
      <c r="E32" s="42" t="s">
        <v>68</v>
      </c>
      <c r="F32" s="46" t="s">
        <v>69</v>
      </c>
    </row>
    <row r="34" spans="2:4">
      <c r="B34" s="50"/>
      <c r="C34" s="50"/>
    </row>
    <row r="35" spans="2:4" ht="30" customHeight="1">
      <c r="B35" s="51"/>
      <c r="C35" s="51"/>
    </row>
    <row r="39" spans="2:4">
      <c r="C39" s="20" t="s">
        <v>72</v>
      </c>
      <c r="D39" s="20" t="s">
        <v>73</v>
      </c>
    </row>
    <row r="40" spans="2:4" ht="45.75">
      <c r="C40" s="21" t="s">
        <v>74</v>
      </c>
      <c r="D40" s="21" t="s">
        <v>75</v>
      </c>
    </row>
  </sheetData>
  <mergeCells count="5">
    <mergeCell ref="B1:F2"/>
    <mergeCell ref="K1:L2"/>
    <mergeCell ref="B15:D16"/>
    <mergeCell ref="B26:C26"/>
    <mergeCell ref="B28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B461-272F-4EC9-8C13-F27A25380926}">
  <dimension ref="B3:C25"/>
  <sheetViews>
    <sheetView topLeftCell="A4" workbookViewId="0">
      <selection activeCell="C29" sqref="C29"/>
    </sheetView>
  </sheetViews>
  <sheetFormatPr defaultRowHeight="15"/>
  <cols>
    <col min="2" max="2" width="42.42578125" customWidth="1"/>
    <col min="3" max="3" width="52.140625" customWidth="1"/>
  </cols>
  <sheetData>
    <row r="3" spans="2:3">
      <c r="B3" s="30" t="s">
        <v>1</v>
      </c>
      <c r="C3" s="30"/>
    </row>
    <row r="4" spans="2:3">
      <c r="B4" s="30"/>
      <c r="C4" s="30"/>
    </row>
    <row r="5" spans="2:3" ht="15.75">
      <c r="B5" s="11" t="s">
        <v>7</v>
      </c>
      <c r="C5" s="11" t="s">
        <v>8</v>
      </c>
    </row>
    <row r="6" spans="2:3">
      <c r="B6" s="1" t="s">
        <v>13</v>
      </c>
      <c r="C6" s="1" t="s">
        <v>9</v>
      </c>
    </row>
    <row r="7" spans="2:3" ht="15.75">
      <c r="B7" s="10" t="s">
        <v>17</v>
      </c>
      <c r="C7" s="1" t="s">
        <v>9</v>
      </c>
    </row>
    <row r="8" spans="2:3" ht="15.75">
      <c r="B8" s="10" t="s">
        <v>21</v>
      </c>
      <c r="C8" s="1" t="s">
        <v>9</v>
      </c>
    </row>
    <row r="9" spans="2:3" ht="15.75">
      <c r="B9" s="10" t="s">
        <v>25</v>
      </c>
      <c r="C9" s="1" t="s">
        <v>14</v>
      </c>
    </row>
    <row r="10" spans="2:3" ht="15.75">
      <c r="B10" s="10" t="s">
        <v>27</v>
      </c>
      <c r="C10" s="1" t="s">
        <v>14</v>
      </c>
    </row>
    <row r="11" spans="2:3" ht="15.75">
      <c r="B11" s="10" t="s">
        <v>31</v>
      </c>
      <c r="C11" s="1" t="s">
        <v>9</v>
      </c>
    </row>
    <row r="12" spans="2:3" ht="15.75">
      <c r="B12" s="10" t="s">
        <v>35</v>
      </c>
      <c r="C12" s="1" t="s">
        <v>36</v>
      </c>
    </row>
    <row r="13" spans="2:3" ht="15.75">
      <c r="B13" s="10" t="s">
        <v>37</v>
      </c>
      <c r="C13" s="1" t="s">
        <v>38</v>
      </c>
    </row>
    <row r="14" spans="2:3" ht="15.75">
      <c r="B14" s="10" t="s">
        <v>39</v>
      </c>
      <c r="C14" s="1" t="s">
        <v>40</v>
      </c>
    </row>
    <row r="15" spans="2:3" ht="15.75">
      <c r="B15" s="10" t="s">
        <v>41</v>
      </c>
      <c r="C15" s="1" t="s">
        <v>40</v>
      </c>
    </row>
    <row r="16" spans="2:3" ht="15.75">
      <c r="B16" s="10" t="s">
        <v>42</v>
      </c>
      <c r="C16" s="1" t="s">
        <v>40</v>
      </c>
    </row>
    <row r="17" spans="2:3" ht="15.75">
      <c r="B17" s="10" t="s">
        <v>44</v>
      </c>
      <c r="C17" s="1" t="s">
        <v>45</v>
      </c>
    </row>
    <row r="18" spans="2:3" ht="15.75">
      <c r="B18" s="10" t="s">
        <v>46</v>
      </c>
      <c r="C18" s="1" t="s">
        <v>45</v>
      </c>
    </row>
    <row r="19" spans="2:3" ht="15.75">
      <c r="B19" s="10" t="s">
        <v>50</v>
      </c>
      <c r="C19" s="1" t="s">
        <v>45</v>
      </c>
    </row>
    <row r="20" spans="2:3" ht="15.75">
      <c r="B20" s="10" t="s">
        <v>51</v>
      </c>
      <c r="C20" s="1" t="s">
        <v>52</v>
      </c>
    </row>
    <row r="21" spans="2:3" ht="15.75">
      <c r="B21" s="10" t="s">
        <v>53</v>
      </c>
      <c r="C21" s="1" t="s">
        <v>52</v>
      </c>
    </row>
    <row r="22" spans="2:3" ht="15.75">
      <c r="B22" s="10" t="s">
        <v>54</v>
      </c>
      <c r="C22" s="1" t="s">
        <v>55</v>
      </c>
    </row>
    <row r="23" spans="2:3" ht="15.75">
      <c r="B23" s="10" t="s">
        <v>56</v>
      </c>
      <c r="C23" s="1" t="s">
        <v>9</v>
      </c>
    </row>
    <row r="24" spans="2:3" ht="15.75">
      <c r="B24" s="10" t="s">
        <v>57</v>
      </c>
      <c r="C24" s="1" t="s">
        <v>9</v>
      </c>
    </row>
    <row r="25" spans="2:3" ht="15.75">
      <c r="B25" s="10" t="s">
        <v>58</v>
      </c>
      <c r="C25" s="1" t="s">
        <v>9</v>
      </c>
    </row>
  </sheetData>
  <mergeCells count="1">
    <mergeCell ref="B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1478-DC8B-4C82-96AD-2A6A9153533A}">
  <dimension ref="B2:D13"/>
  <sheetViews>
    <sheetView workbookViewId="0">
      <selection activeCell="E23" sqref="E23"/>
    </sheetView>
  </sheetViews>
  <sheetFormatPr defaultRowHeight="15"/>
  <cols>
    <col min="2" max="2" width="18.28515625" customWidth="1"/>
    <col min="3" max="3" width="14.28515625" customWidth="1"/>
    <col min="4" max="4" width="15.5703125" customWidth="1"/>
  </cols>
  <sheetData>
    <row r="2" spans="2:4">
      <c r="B2" s="31" t="s">
        <v>43</v>
      </c>
      <c r="C2" s="32"/>
      <c r="D2" s="33"/>
    </row>
    <row r="3" spans="2:4">
      <c r="B3" s="34"/>
      <c r="C3" s="35"/>
      <c r="D3" s="36"/>
    </row>
    <row r="4" spans="2:4" ht="15.75">
      <c r="B4" s="15" t="s">
        <v>47</v>
      </c>
      <c r="C4" s="16" t="s">
        <v>48</v>
      </c>
      <c r="D4" s="17" t="s">
        <v>49</v>
      </c>
    </row>
    <row r="5" spans="2:4" ht="15.75">
      <c r="B5" s="18" t="s">
        <v>9</v>
      </c>
      <c r="C5" s="1">
        <v>31</v>
      </c>
      <c r="D5" s="1">
        <f>C5*8</f>
        <v>248</v>
      </c>
    </row>
    <row r="6" spans="2:4" ht="15.75">
      <c r="B6" s="18" t="s">
        <v>14</v>
      </c>
      <c r="C6" s="1">
        <v>14</v>
      </c>
      <c r="D6" s="1">
        <f t="shared" ref="D6:D11" si="0">C6*8</f>
        <v>112</v>
      </c>
    </row>
    <row r="7" spans="2:4" ht="15.75">
      <c r="B7" s="18" t="s">
        <v>18</v>
      </c>
      <c r="C7" s="1">
        <v>7</v>
      </c>
      <c r="D7" s="1">
        <f t="shared" si="0"/>
        <v>56</v>
      </c>
    </row>
    <row r="8" spans="2:4" ht="15.75">
      <c r="B8" s="18" t="s">
        <v>22</v>
      </c>
      <c r="C8" s="1">
        <v>70</v>
      </c>
      <c r="D8" s="1">
        <f t="shared" si="0"/>
        <v>560</v>
      </c>
    </row>
    <row r="9" spans="2:4" ht="15.75">
      <c r="B9" s="18" t="s">
        <v>26</v>
      </c>
      <c r="C9" s="1">
        <v>77</v>
      </c>
      <c r="D9" s="1">
        <f t="shared" si="0"/>
        <v>616</v>
      </c>
    </row>
    <row r="10" spans="2:4" ht="15.75">
      <c r="B10" s="18" t="s">
        <v>28</v>
      </c>
      <c r="C10" s="1">
        <v>14</v>
      </c>
      <c r="D10" s="1">
        <f t="shared" si="0"/>
        <v>112</v>
      </c>
    </row>
    <row r="11" spans="2:4" ht="15.75">
      <c r="B11" s="18" t="s">
        <v>32</v>
      </c>
      <c r="C11" s="1">
        <v>21</v>
      </c>
      <c r="D11" s="1">
        <f t="shared" si="0"/>
        <v>168</v>
      </c>
    </row>
    <row r="13" spans="2:4" ht="17.25">
      <c r="B13" s="37" t="s">
        <v>59</v>
      </c>
      <c r="C13" s="38"/>
      <c r="D13" s="19">
        <f>SUM(D5:D11)</f>
        <v>1872</v>
      </c>
    </row>
  </sheetData>
  <mergeCells count="2">
    <mergeCell ref="B2:D3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2026-07-03T08:15:13Z</dcterms:created>
  <dcterms:modified xsi:type="dcterms:W3CDTF">2026-07-04T07:31:50Z</dcterms:modified>
  <cp:category/>
  <cp:contentStatus/>
</cp:coreProperties>
</file>