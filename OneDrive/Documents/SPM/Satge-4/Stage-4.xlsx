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/>
  <xr:revisionPtr revIDLastSave="0" documentId="8_{B191D424-1C31-4707-8CAA-2CCA9C764EF1}" xr6:coauthVersionLast="47" xr6:coauthVersionMax="47" xr10:uidLastSave="{00000000-0000-0000-0000-000000000000}"/>
  <bookViews>
    <workbookView xWindow="0" yWindow="0" windowWidth="23040" windowHeight="9000" tabRatio="500" xr2:uid="{00000000-000D-0000-FFFF-FFFF00000000}"/>
  </bookViews>
  <sheets>
    <sheet name="Budget Estimatio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34" i="1" s="1"/>
  <c r="G38" i="1" s="1"/>
  <c r="E9" i="1"/>
  <c r="E8" i="1"/>
  <c r="E7" i="1"/>
  <c r="E6" i="1"/>
  <c r="E5" i="1"/>
  <c r="E4" i="1"/>
  <c r="E10" i="1"/>
  <c r="G37" i="1" s="1"/>
  <c r="G39" i="1" s="1"/>
</calcChain>
</file>

<file path=xl/sharedStrings.xml><?xml version="1.0" encoding="utf-8"?>
<sst xmlns="http://schemas.openxmlformats.org/spreadsheetml/2006/main" count="96" uniqueCount="77">
  <si>
    <t xml:space="preserve">                                                                                        Resource Cost Estimation</t>
  </si>
  <si>
    <t>Resource Name</t>
  </si>
  <si>
    <t>Role</t>
  </si>
  <si>
    <t>Std. Rate ($/hr)</t>
  </si>
  <si>
    <t>Total Working Hours</t>
  </si>
  <si>
    <t>Total Cost ($)</t>
  </si>
  <si>
    <t>Project Manager</t>
  </si>
  <si>
    <t>Project Management</t>
  </si>
  <si>
    <t xml:space="preserve">Resource Chart </t>
  </si>
  <si>
    <t>Business Analyst</t>
  </si>
  <si>
    <t>Requirement Analysis</t>
  </si>
  <si>
    <t>UI/UX Designer</t>
  </si>
  <si>
    <t>UI/UX Design</t>
  </si>
  <si>
    <t>Frontend Developer</t>
  </si>
  <si>
    <t>Frontend Development</t>
  </si>
  <si>
    <t>Backend Developer</t>
  </si>
  <si>
    <t>Backend Development</t>
  </si>
  <si>
    <t>QA Engineer</t>
  </si>
  <si>
    <t>Testing &amp; QA</t>
  </si>
  <si>
    <t>DevOps Engineer</t>
  </si>
  <si>
    <t>Deployment &amp; Cloud</t>
  </si>
  <si>
    <t xml:space="preserve"> Grand Total                                                                                 </t>
  </si>
  <si>
    <t xml:space="preserve">                                                                                                                 Task Cost Estimation</t>
  </si>
  <si>
    <t>Task ID</t>
  </si>
  <si>
    <t>Task Name</t>
  </si>
  <si>
    <t>Resource</t>
  </si>
  <si>
    <t>Duration (Days)</t>
  </si>
  <si>
    <t>Working Hours</t>
  </si>
  <si>
    <t>Rate/Hour ($)</t>
  </si>
  <si>
    <t>1.1</t>
  </si>
  <si>
    <t>Project Idea Selection</t>
  </si>
  <si>
    <t>1.2</t>
  </si>
  <si>
    <t>Project Proposal Preparation</t>
  </si>
  <si>
    <t>1.3</t>
  </si>
  <si>
    <t>Project Charter Development</t>
  </si>
  <si>
    <t>2.1</t>
  </si>
  <si>
    <t>Requirement Gathering</t>
  </si>
  <si>
    <t>2.2</t>
  </si>
  <si>
    <t>System Analysis &amp; Risk Identification</t>
  </si>
  <si>
    <t>2.3</t>
  </si>
  <si>
    <t>Budget &amp; Resource Planning</t>
  </si>
  <si>
    <t>3.1</t>
  </si>
  <si>
    <t>3.2</t>
  </si>
  <si>
    <t>Database &amp; Architecture Design</t>
  </si>
  <si>
    <t>UI/UX Designer + Backend Developer</t>
  </si>
  <si>
    <t>Task Budget Chart:</t>
  </si>
  <si>
    <t>4.1</t>
  </si>
  <si>
    <t>Patient Registration &amp; Login Module</t>
  </si>
  <si>
    <t>Backend + DevOps + Frontend</t>
  </si>
  <si>
    <t>4.2</t>
  </si>
  <si>
    <t>Online Doctor Consultation Module</t>
  </si>
  <si>
    <t>4.3</t>
  </si>
  <si>
    <t>Medicine Ordering &amp; Delivery Module</t>
  </si>
  <si>
    <t>4.4</t>
  </si>
  <si>
    <t>Lab Test Booking &amp; Report Module</t>
  </si>
  <si>
    <t>Backend + Frontend</t>
  </si>
  <si>
    <t>4.5</t>
  </si>
  <si>
    <t>Payment &amp; Notification System</t>
  </si>
  <si>
    <t>4.6</t>
  </si>
  <si>
    <t>Admin Dashboard Development</t>
  </si>
  <si>
    <t>5.1</t>
  </si>
  <si>
    <t>Unit &amp; Integration Testing</t>
  </si>
  <si>
    <t>5.2</t>
  </si>
  <si>
    <t>User Acceptance Testing</t>
  </si>
  <si>
    <t>6.1</t>
  </si>
  <si>
    <t>Cloud Setup &amp; App Deployment</t>
  </si>
  <si>
    <t>6.2</t>
  </si>
  <si>
    <t>User Training</t>
  </si>
  <si>
    <t>7.1</t>
  </si>
  <si>
    <t>Documentation Submission</t>
  </si>
  <si>
    <t>7.2</t>
  </si>
  <si>
    <t>Final Project Review &amp; Sign-off</t>
  </si>
  <si>
    <t xml:space="preserve">Grand Total                                                                                                  </t>
  </si>
  <si>
    <t xml:space="preserve">                                                                                                                           Total Project Budget</t>
  </si>
  <si>
    <t>Resource Cost Estimation - Grand Total</t>
  </si>
  <si>
    <t>Task Cost Estimation - Grand Total</t>
  </si>
  <si>
    <t>TOTAL PROJECT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</si>
</sst>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9">
    <font>
      <sz val="11"/>
      <color theme="1"/>
      <name val="Calibri"/>
      <charset val="1"/>
    </font>
    <font>
      <b/>
      <sz val="12"/>
      <color rgb="FF000000"/>
      <name val="Calibri"/>
      <charset val="1"/>
    </font>
    <font>
      <sz val="10.5"/>
      <name val="Calibri"/>
      <charset val="1"/>
    </font>
    <font>
      <b/>
      <sz val="10.5"/>
      <name val="Calibri"/>
      <charset val="1"/>
    </font>
    <font>
      <b/>
      <sz val="11"/>
      <name val="Calibri"/>
      <charset val="1"/>
    </font>
    <font>
      <i/>
      <sz val="9"/>
      <color rgb="FF808080"/>
      <name val="Calibri"/>
      <charset val="1"/>
    </font>
    <font>
      <b/>
      <sz val="10.5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EDED74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3" borderId="1" xfId="0" applyNumberFormat="1" applyFont="1" applyFill="1" applyBorder="1"/>
    <xf numFmtId="164" fontId="2" fillId="0" borderId="1" xfId="0" applyNumberFormat="1" applyFont="1" applyBorder="1"/>
    <xf numFmtId="164" fontId="4" fillId="3" borderId="1" xfId="0" applyNumberFormat="1" applyFont="1" applyFill="1" applyBorder="1"/>
    <xf numFmtId="0" fontId="3" fillId="3" borderId="1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7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8" fillId="0" borderId="0" xfId="0" applyFont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3" borderId="1" xfId="0" applyFont="1" applyFill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E7E6E6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E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Estimation'!$E$2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Estimation'!$A$3:$A$9</c:f>
              <c:strCache>
                <c:ptCount val="7"/>
                <c:pt idx="0">
                  <c:v>Project Manager</c:v>
                </c:pt>
                <c:pt idx="1">
                  <c:v>Business Analyst</c:v>
                </c:pt>
                <c:pt idx="2">
                  <c:v>UI/UX Designer</c:v>
                </c:pt>
                <c:pt idx="3">
                  <c:v>Frontend Developer</c:v>
                </c:pt>
                <c:pt idx="4">
                  <c:v>Backend Developer</c:v>
                </c:pt>
                <c:pt idx="5">
                  <c:v>QA Engineer</c:v>
                </c:pt>
                <c:pt idx="6">
                  <c:v>DevOps Engineer</c:v>
                </c:pt>
              </c:strCache>
            </c:strRef>
          </c:cat>
          <c:val>
            <c:numRef>
              <c:f>'Budget Estimation'!$E$3:$E$9</c:f>
              <c:numCache>
                <c:formatCode>"$"#,##0.00</c:formatCode>
                <c:ptCount val="7"/>
                <c:pt idx="0">
                  <c:v>200000</c:v>
                </c:pt>
                <c:pt idx="1">
                  <c:v>89600</c:v>
                </c:pt>
                <c:pt idx="2">
                  <c:v>78400</c:v>
                </c:pt>
                <c:pt idx="3">
                  <c:v>582624</c:v>
                </c:pt>
                <c:pt idx="4">
                  <c:v>633024</c:v>
                </c:pt>
                <c:pt idx="5">
                  <c:v>67200</c:v>
                </c:pt>
                <c:pt idx="6">
                  <c:v>359856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3-408F-89D1-165FA7701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95240"/>
        <c:axId val="1685499912"/>
      </c:barChart>
      <c:catAx>
        <c:axId val="20009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99912"/>
        <c:crosses val="autoZero"/>
        <c:auto val="1"/>
        <c:lblAlgn val="ctr"/>
        <c:lblOffset val="100"/>
        <c:noMultiLvlLbl val="0"/>
      </c:catAx>
      <c:valAx>
        <c:axId val="168549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Estimation'!$G$13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Estimation'!$B$14:$B$33</c:f>
              <c:strCache>
                <c:ptCount val="20"/>
                <c:pt idx="0">
                  <c:v>Project Idea Selection</c:v>
                </c:pt>
                <c:pt idx="1">
                  <c:v>Project Proposal Preparation</c:v>
                </c:pt>
                <c:pt idx="2">
                  <c:v>Project Charter Development</c:v>
                </c:pt>
                <c:pt idx="3">
                  <c:v>Requirement Gathering</c:v>
                </c:pt>
                <c:pt idx="4">
                  <c:v>System Analysis &amp; Risk Identification</c:v>
                </c:pt>
                <c:pt idx="5">
                  <c:v>Budget &amp; Resource Planning</c:v>
                </c:pt>
                <c:pt idx="6">
                  <c:v>UI/UX Design</c:v>
                </c:pt>
                <c:pt idx="7">
                  <c:v>Database &amp; Architecture Design</c:v>
                </c:pt>
                <c:pt idx="8">
                  <c:v>Patient Registration &amp; Login Module</c:v>
                </c:pt>
                <c:pt idx="9">
                  <c:v>Online Doctor Consultation Module</c:v>
                </c:pt>
                <c:pt idx="10">
                  <c:v>Medicine Ordering &amp; Delivery Module</c:v>
                </c:pt>
                <c:pt idx="11">
                  <c:v>Lab Test Booking &amp; Report Module</c:v>
                </c:pt>
                <c:pt idx="12">
                  <c:v>Payment &amp; Notification System</c:v>
                </c:pt>
                <c:pt idx="13">
                  <c:v>Admin Dashboard Development</c:v>
                </c:pt>
                <c:pt idx="14">
                  <c:v>Unit &amp; Integration Testing</c:v>
                </c:pt>
                <c:pt idx="15">
                  <c:v>User Acceptance Testing</c:v>
                </c:pt>
                <c:pt idx="16">
                  <c:v>Cloud Setup &amp; App Deployment</c:v>
                </c:pt>
                <c:pt idx="17">
                  <c:v>User Training</c:v>
                </c:pt>
                <c:pt idx="18">
                  <c:v>Documentation Submission</c:v>
                </c:pt>
                <c:pt idx="19">
                  <c:v>Final Project Review &amp; Sign-off</c:v>
                </c:pt>
              </c:strCache>
            </c:strRef>
          </c:cat>
          <c:val>
            <c:numRef>
              <c:f>'Budget Estimation'!$G$14:$G$33</c:f>
              <c:numCache>
                <c:formatCode>"$"#,##0.00</c:formatCode>
                <c:ptCount val="20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44800</c:v>
                </c:pt>
                <c:pt idx="4">
                  <c:v>44800</c:v>
                </c:pt>
                <c:pt idx="5">
                  <c:v>56000</c:v>
                </c:pt>
                <c:pt idx="6">
                  <c:v>39200</c:v>
                </c:pt>
                <c:pt idx="7">
                  <c:v>89600</c:v>
                </c:pt>
                <c:pt idx="8">
                  <c:v>192920</c:v>
                </c:pt>
                <c:pt idx="9">
                  <c:v>390292</c:v>
                </c:pt>
                <c:pt idx="10">
                  <c:v>390292</c:v>
                </c:pt>
                <c:pt idx="11">
                  <c:v>201600</c:v>
                </c:pt>
                <c:pt idx="12">
                  <c:v>100800</c:v>
                </c:pt>
                <c:pt idx="13">
                  <c:v>201600</c:v>
                </c:pt>
                <c:pt idx="14">
                  <c:v>33600</c:v>
                </c:pt>
                <c:pt idx="15">
                  <c:v>33600</c:v>
                </c:pt>
                <c:pt idx="16">
                  <c:v>47600</c:v>
                </c:pt>
                <c:pt idx="17">
                  <c:v>56000</c:v>
                </c:pt>
                <c:pt idx="18">
                  <c:v>56000</c:v>
                </c:pt>
                <c:pt idx="19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A-4C42-BDF2-8BE2FA6BE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740232"/>
        <c:axId val="1684521480"/>
      </c:barChart>
      <c:catAx>
        <c:axId val="29074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21480"/>
        <c:crosses val="autoZero"/>
        <c:auto val="1"/>
        <c:lblAlgn val="ctr"/>
        <c:lblOffset val="100"/>
        <c:noMultiLvlLbl val="0"/>
      </c:catAx>
      <c:valAx>
        <c:axId val="168452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4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Estimation'!$E$2</c:f>
              <c:strCache>
                <c:ptCount val="1"/>
                <c:pt idx="0">
                  <c:v>Total Cost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'Budget Estimation'!$A$3:$A$9</c:f>
              <c:strCache>
                <c:ptCount val="7"/>
                <c:pt idx="0">
                  <c:v>Project Manager</c:v>
                </c:pt>
                <c:pt idx="1">
                  <c:v>Business Analyst</c:v>
                </c:pt>
                <c:pt idx="2">
                  <c:v>UI/UX Designer</c:v>
                </c:pt>
                <c:pt idx="3">
                  <c:v>Frontend Developer</c:v>
                </c:pt>
                <c:pt idx="4">
                  <c:v>Backend Developer</c:v>
                </c:pt>
                <c:pt idx="5">
                  <c:v>QA Engineer</c:v>
                </c:pt>
                <c:pt idx="6">
                  <c:v>DevOps Engineer</c:v>
                </c:pt>
              </c:strCache>
            </c:strRef>
          </c:cat>
          <c:val>
            <c:numRef>
              <c:f>'Budget Estimation'!$E$3:$E$9</c:f>
              <c:numCache>
                <c:formatCode>"$"#,##0.00</c:formatCode>
                <c:ptCount val="7"/>
                <c:pt idx="0">
                  <c:v>200000</c:v>
                </c:pt>
                <c:pt idx="1">
                  <c:v>89600</c:v>
                </c:pt>
                <c:pt idx="2">
                  <c:v>78400</c:v>
                </c:pt>
                <c:pt idx="3">
                  <c:v>582624</c:v>
                </c:pt>
                <c:pt idx="4">
                  <c:v>633024</c:v>
                </c:pt>
                <c:pt idx="5">
                  <c:v>67200</c:v>
                </c:pt>
                <c:pt idx="6">
                  <c:v>359856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1-4764-9727-4FAD4812D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Estimation'!$G$13</c:f>
              <c:strCache>
                <c:ptCount val="1"/>
                <c:pt idx="0">
                  <c:v>Total Cost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'Budget Estimation'!$B$14:$B$33</c:f>
              <c:strCache>
                <c:ptCount val="20"/>
                <c:pt idx="0">
                  <c:v>Project Idea Selection</c:v>
                </c:pt>
                <c:pt idx="1">
                  <c:v>Project Proposal Preparation</c:v>
                </c:pt>
                <c:pt idx="2">
                  <c:v>Project Charter Development</c:v>
                </c:pt>
                <c:pt idx="3">
                  <c:v>Requirement Gathering</c:v>
                </c:pt>
                <c:pt idx="4">
                  <c:v>System Analysis &amp; Risk Identification</c:v>
                </c:pt>
                <c:pt idx="5">
                  <c:v>Budget &amp; Resource Planning</c:v>
                </c:pt>
                <c:pt idx="6">
                  <c:v>UI/UX Design</c:v>
                </c:pt>
                <c:pt idx="7">
                  <c:v>Database &amp; Architecture Design</c:v>
                </c:pt>
                <c:pt idx="8">
                  <c:v>Patient Registration &amp; Login Module</c:v>
                </c:pt>
                <c:pt idx="9">
                  <c:v>Online Doctor Consultation Module</c:v>
                </c:pt>
                <c:pt idx="10">
                  <c:v>Medicine Ordering &amp; Delivery Module</c:v>
                </c:pt>
                <c:pt idx="11">
                  <c:v>Lab Test Booking &amp; Report Module</c:v>
                </c:pt>
                <c:pt idx="12">
                  <c:v>Payment &amp; Notification System</c:v>
                </c:pt>
                <c:pt idx="13">
                  <c:v>Admin Dashboard Development</c:v>
                </c:pt>
                <c:pt idx="14">
                  <c:v>Unit &amp; Integration Testing</c:v>
                </c:pt>
                <c:pt idx="15">
                  <c:v>User Acceptance Testing</c:v>
                </c:pt>
                <c:pt idx="16">
                  <c:v>Cloud Setup &amp; App Deployment</c:v>
                </c:pt>
                <c:pt idx="17">
                  <c:v>User Training</c:v>
                </c:pt>
                <c:pt idx="18">
                  <c:v>Documentation Submission</c:v>
                </c:pt>
                <c:pt idx="19">
                  <c:v>Final Project Review &amp; Sign-off</c:v>
                </c:pt>
              </c:strCache>
            </c:strRef>
          </c:cat>
          <c:val>
            <c:numRef>
              <c:f>'Budget Estimation'!$G$14:$G$33</c:f>
              <c:numCache>
                <c:formatCode>"$"#,##0.00</c:formatCode>
                <c:ptCount val="20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44800</c:v>
                </c:pt>
                <c:pt idx="4">
                  <c:v>44800</c:v>
                </c:pt>
                <c:pt idx="5">
                  <c:v>56000</c:v>
                </c:pt>
                <c:pt idx="6">
                  <c:v>39200</c:v>
                </c:pt>
                <c:pt idx="7">
                  <c:v>89600</c:v>
                </c:pt>
                <c:pt idx="8">
                  <c:v>192920</c:v>
                </c:pt>
                <c:pt idx="9">
                  <c:v>390292</c:v>
                </c:pt>
                <c:pt idx="10">
                  <c:v>390292</c:v>
                </c:pt>
                <c:pt idx="11">
                  <c:v>201600</c:v>
                </c:pt>
                <c:pt idx="12">
                  <c:v>100800</c:v>
                </c:pt>
                <c:pt idx="13">
                  <c:v>201600</c:v>
                </c:pt>
                <c:pt idx="14">
                  <c:v>33600</c:v>
                </c:pt>
                <c:pt idx="15">
                  <c:v>33600</c:v>
                </c:pt>
                <c:pt idx="16">
                  <c:v>47600</c:v>
                </c:pt>
                <c:pt idx="17">
                  <c:v>56000</c:v>
                </c:pt>
                <c:pt idx="18">
                  <c:v>56000</c:v>
                </c:pt>
                <c:pt idx="19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5-4228-AB26-860D08BC4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4</xdr:row>
      <xdr:rowOff>161925</xdr:rowOff>
    </xdr:from>
    <xdr:to>
      <xdr:col>20</xdr:col>
      <xdr:colOff>523875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8CDE5-0E81-3FEF-A9D3-FE6F41530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561975</xdr:colOff>
      <xdr:row>21</xdr:row>
      <xdr:rowOff>323850</xdr:rowOff>
    </xdr:from>
    <xdr:to>
      <xdr:col>20</xdr:col>
      <xdr:colOff>495300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CE4051-8A33-FB28-66E6-EF38D8FB1205}"/>
            </a:ext>
            <a:ext uri="{147F2762-F138-4A5C-976F-8EAC2B608ADB}">
              <a16:predDERef xmlns:a16="http://schemas.microsoft.com/office/drawing/2014/main" pred="{26A8CDE5-0E81-3FEF-A9D3-FE6F41530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523875</xdr:colOff>
      <xdr:row>4</xdr:row>
      <xdr:rowOff>142875</xdr:rowOff>
    </xdr:from>
    <xdr:to>
      <xdr:col>29</xdr:col>
      <xdr:colOff>447675</xdr:colOff>
      <xdr:row>18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CBC26-8A14-0E6B-A5C4-66CF243D8815}"/>
            </a:ext>
            <a:ext uri="{147F2762-F138-4A5C-976F-8EAC2B608ADB}">
              <a16:predDERef xmlns:a16="http://schemas.microsoft.com/office/drawing/2014/main" pred="{FCCE4051-8A33-FB28-66E6-EF38D8FB1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533400</xdr:colOff>
      <xdr:row>20</xdr:row>
      <xdr:rowOff>304800</xdr:rowOff>
    </xdr:from>
    <xdr:to>
      <xdr:col>31</xdr:col>
      <xdr:colOff>228600</xdr:colOff>
      <xdr:row>40</xdr:row>
      <xdr:rowOff>361950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AD1424-CEC8-9A37-88BC-CEADB132323C}"/>
            </a:ext>
            <a:ext uri="{147F2762-F138-4A5C-976F-8EAC2B608ADB}">
              <a16:predDERef xmlns:a16="http://schemas.microsoft.com/office/drawing/2014/main" pred="{6EACBC26-8A14-0E6B-A5C4-66CF243D8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showGridLines="0" tabSelected="1" workbookViewId="0">
      <pane ySplit="1" topLeftCell="A19" activePane="bottomLeft" state="frozen"/>
      <selection pane="bottomLeft" activeCell="H8" sqref="H8"/>
    </sheetView>
  </sheetViews>
  <sheetFormatPr defaultColWidth="8.7109375" defaultRowHeight="14.45"/>
  <cols>
    <col min="1" max="1" width="22" customWidth="1"/>
    <col min="2" max="2" width="36" customWidth="1"/>
    <col min="3" max="3" width="24" customWidth="1"/>
    <col min="4" max="4" width="16" customWidth="1"/>
    <col min="5" max="5" width="18" customWidth="1"/>
    <col min="6" max="7" width="16" customWidth="1"/>
    <col min="16" max="16" width="26" customWidth="1"/>
  </cols>
  <sheetData>
    <row r="1" spans="1:19" ht="21.75" customHeight="1">
      <c r="A1" s="15" t="s">
        <v>0</v>
      </c>
      <c r="B1" s="16"/>
      <c r="C1" s="16"/>
      <c r="D1" s="16"/>
      <c r="E1" s="16"/>
    </row>
    <row r="2" spans="1:19" ht="25.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pans="1:19" ht="15.75">
      <c r="A3" s="1" t="s">
        <v>6</v>
      </c>
      <c r="B3" s="2" t="s">
        <v>7</v>
      </c>
      <c r="C3" s="3">
        <v>1000</v>
      </c>
      <c r="D3" s="1">
        <v>200</v>
      </c>
      <c r="E3" s="3">
        <f>PRODUCT(C3,D3)</f>
        <v>200000</v>
      </c>
      <c r="P3" s="21" t="s">
        <v>8</v>
      </c>
      <c r="Q3" s="22"/>
      <c r="R3" s="22"/>
      <c r="S3" s="23"/>
    </row>
    <row r="4" spans="1:19" ht="15">
      <c r="A4" s="1" t="s">
        <v>9</v>
      </c>
      <c r="B4" s="2" t="s">
        <v>10</v>
      </c>
      <c r="C4" s="3">
        <v>800</v>
      </c>
      <c r="D4" s="1">
        <v>112</v>
      </c>
      <c r="E4" s="3">
        <f t="shared" ref="E3:E9" si="0">PRODUCT(C4,D4)</f>
        <v>89600</v>
      </c>
    </row>
    <row r="5" spans="1:19">
      <c r="A5" s="1" t="s">
        <v>11</v>
      </c>
      <c r="B5" s="2" t="s">
        <v>12</v>
      </c>
      <c r="C5" s="3">
        <v>700</v>
      </c>
      <c r="D5" s="1">
        <v>112</v>
      </c>
      <c r="E5" s="3">
        <f t="shared" si="0"/>
        <v>78400</v>
      </c>
    </row>
    <row r="6" spans="1:19">
      <c r="A6" s="1" t="s">
        <v>13</v>
      </c>
      <c r="B6" s="2" t="s">
        <v>14</v>
      </c>
      <c r="C6" s="3">
        <v>900</v>
      </c>
      <c r="D6" s="1">
        <v>647.36</v>
      </c>
      <c r="E6" s="3">
        <f t="shared" si="0"/>
        <v>582624</v>
      </c>
    </row>
    <row r="7" spans="1:19">
      <c r="A7" s="1" t="s">
        <v>15</v>
      </c>
      <c r="B7" s="2" t="s">
        <v>16</v>
      </c>
      <c r="C7" s="3">
        <v>900</v>
      </c>
      <c r="D7" s="1">
        <v>703.36</v>
      </c>
      <c r="E7" s="3">
        <f t="shared" si="0"/>
        <v>633024</v>
      </c>
    </row>
    <row r="8" spans="1:19">
      <c r="A8" s="1" t="s">
        <v>17</v>
      </c>
      <c r="B8" s="2" t="s">
        <v>18</v>
      </c>
      <c r="C8" s="3">
        <v>600</v>
      </c>
      <c r="D8" s="1">
        <v>112</v>
      </c>
      <c r="E8" s="3">
        <f t="shared" si="0"/>
        <v>67200</v>
      </c>
    </row>
    <row r="9" spans="1:19">
      <c r="A9" s="1" t="s">
        <v>19</v>
      </c>
      <c r="B9" s="2" t="s">
        <v>20</v>
      </c>
      <c r="C9" s="3">
        <v>850</v>
      </c>
      <c r="D9" s="1">
        <v>423.36</v>
      </c>
      <c r="E9" s="3">
        <f t="shared" si="0"/>
        <v>359856</v>
      </c>
    </row>
    <row r="10" spans="1:19" ht="28.5" customHeight="1">
      <c r="A10" s="10" t="s">
        <v>21</v>
      </c>
      <c r="B10" s="7"/>
      <c r="C10" s="7"/>
      <c r="D10" s="7"/>
      <c r="E10" s="4">
        <f>SUM(E3:E9)</f>
        <v>2010704</v>
      </c>
    </row>
    <row r="12" spans="1:19" ht="21.75" customHeight="1">
      <c r="A12" s="15" t="s">
        <v>22</v>
      </c>
      <c r="B12" s="16"/>
      <c r="C12" s="16"/>
      <c r="D12" s="16"/>
      <c r="E12" s="16"/>
      <c r="F12" s="16"/>
      <c r="G12" s="16"/>
      <c r="P12" s="17"/>
    </row>
    <row r="13" spans="1:19" ht="19.5" customHeight="1">
      <c r="A13" s="9" t="s">
        <v>23</v>
      </c>
      <c r="B13" s="9" t="s">
        <v>24</v>
      </c>
      <c r="C13" s="9" t="s">
        <v>25</v>
      </c>
      <c r="D13" s="9" t="s">
        <v>26</v>
      </c>
      <c r="E13" s="9" t="s">
        <v>27</v>
      </c>
      <c r="F13" s="9" t="s">
        <v>28</v>
      </c>
      <c r="G13" s="9" t="s">
        <v>5</v>
      </c>
    </row>
    <row r="14" spans="1:19">
      <c r="A14" s="1" t="s">
        <v>29</v>
      </c>
      <c r="B14" s="2" t="s">
        <v>30</v>
      </c>
      <c r="C14" s="1" t="s">
        <v>6</v>
      </c>
      <c r="D14" s="1">
        <v>1</v>
      </c>
      <c r="E14" s="1">
        <v>8</v>
      </c>
      <c r="F14" s="3">
        <v>1000</v>
      </c>
      <c r="G14" s="3">
        <f t="shared" ref="G14:G33" si="1">E14*F14</f>
        <v>8000</v>
      </c>
    </row>
    <row r="15" spans="1:19">
      <c r="A15" s="1" t="s">
        <v>31</v>
      </c>
      <c r="B15" s="2" t="s">
        <v>32</v>
      </c>
      <c r="C15" s="1" t="s">
        <v>6</v>
      </c>
      <c r="D15" s="1">
        <v>1</v>
      </c>
      <c r="E15" s="1">
        <v>8</v>
      </c>
      <c r="F15" s="3">
        <v>1000</v>
      </c>
      <c r="G15" s="3">
        <f t="shared" si="1"/>
        <v>8000</v>
      </c>
    </row>
    <row r="16" spans="1:19">
      <c r="A16" s="1" t="s">
        <v>33</v>
      </c>
      <c r="B16" s="2" t="s">
        <v>34</v>
      </c>
      <c r="C16" s="1" t="s">
        <v>6</v>
      </c>
      <c r="D16" s="1">
        <v>1</v>
      </c>
      <c r="E16" s="1">
        <v>8</v>
      </c>
      <c r="F16" s="3">
        <v>1000</v>
      </c>
      <c r="G16" s="3">
        <f t="shared" si="1"/>
        <v>8000</v>
      </c>
    </row>
    <row r="17" spans="1:19">
      <c r="A17" s="1" t="s">
        <v>35</v>
      </c>
      <c r="B17" s="2" t="s">
        <v>36</v>
      </c>
      <c r="C17" s="1" t="s">
        <v>9</v>
      </c>
      <c r="D17" s="1">
        <v>7</v>
      </c>
      <c r="E17" s="1">
        <v>56</v>
      </c>
      <c r="F17" s="3">
        <v>800</v>
      </c>
      <c r="G17" s="3">
        <f t="shared" si="1"/>
        <v>44800</v>
      </c>
    </row>
    <row r="18" spans="1:19">
      <c r="A18" s="1" t="s">
        <v>37</v>
      </c>
      <c r="B18" s="2" t="s">
        <v>38</v>
      </c>
      <c r="C18" s="1" t="s">
        <v>9</v>
      </c>
      <c r="D18" s="1">
        <v>7</v>
      </c>
      <c r="E18" s="1">
        <v>56</v>
      </c>
      <c r="F18" s="3">
        <v>800</v>
      </c>
      <c r="G18" s="3">
        <f t="shared" si="1"/>
        <v>44800</v>
      </c>
    </row>
    <row r="19" spans="1:19">
      <c r="A19" s="1" t="s">
        <v>39</v>
      </c>
      <c r="B19" s="2" t="s">
        <v>40</v>
      </c>
      <c r="C19" s="1" t="s">
        <v>6</v>
      </c>
      <c r="D19" s="1">
        <v>7</v>
      </c>
      <c r="E19" s="1">
        <v>56</v>
      </c>
      <c r="F19" s="3">
        <v>1000</v>
      </c>
      <c r="G19" s="3">
        <f t="shared" si="1"/>
        <v>56000</v>
      </c>
    </row>
    <row r="20" spans="1:19" ht="15">
      <c r="A20" s="1" t="s">
        <v>41</v>
      </c>
      <c r="B20" s="2" t="s">
        <v>12</v>
      </c>
      <c r="C20" s="1" t="s">
        <v>11</v>
      </c>
      <c r="D20" s="1">
        <v>7</v>
      </c>
      <c r="E20" s="1">
        <v>56</v>
      </c>
      <c r="F20" s="3">
        <v>700</v>
      </c>
      <c r="G20" s="3">
        <f t="shared" si="1"/>
        <v>39200</v>
      </c>
    </row>
    <row r="21" spans="1:19" ht="28.5">
      <c r="A21" s="1" t="s">
        <v>42</v>
      </c>
      <c r="B21" s="2" t="s">
        <v>43</v>
      </c>
      <c r="C21" s="1" t="s">
        <v>44</v>
      </c>
      <c r="D21" s="1">
        <v>7</v>
      </c>
      <c r="E21" s="1">
        <v>56</v>
      </c>
      <c r="F21" s="3">
        <v>1600</v>
      </c>
      <c r="G21" s="3">
        <f t="shared" si="1"/>
        <v>89600</v>
      </c>
      <c r="P21" s="18" t="s">
        <v>45</v>
      </c>
      <c r="Q21" s="19"/>
      <c r="R21" s="19"/>
      <c r="S21" s="20"/>
    </row>
    <row r="22" spans="1:19" ht="28.5">
      <c r="A22" s="1" t="s">
        <v>46</v>
      </c>
      <c r="B22" s="2" t="s">
        <v>47</v>
      </c>
      <c r="C22" s="1" t="s">
        <v>48</v>
      </c>
      <c r="D22" s="1">
        <v>9.1</v>
      </c>
      <c r="E22" s="1">
        <v>72.8</v>
      </c>
      <c r="F22" s="3">
        <v>2650</v>
      </c>
      <c r="G22" s="3">
        <f t="shared" si="1"/>
        <v>192920</v>
      </c>
    </row>
    <row r="23" spans="1:19" ht="28.9">
      <c r="A23" s="1" t="s">
        <v>49</v>
      </c>
      <c r="B23" s="2" t="s">
        <v>50</v>
      </c>
      <c r="C23" s="1" t="s">
        <v>48</v>
      </c>
      <c r="D23" s="1">
        <v>18.41</v>
      </c>
      <c r="E23" s="1">
        <v>147.28</v>
      </c>
      <c r="F23" s="3">
        <v>2650</v>
      </c>
      <c r="G23" s="3">
        <f t="shared" si="1"/>
        <v>390292</v>
      </c>
    </row>
    <row r="24" spans="1:19" ht="28.9">
      <c r="A24" s="1" t="s">
        <v>51</v>
      </c>
      <c r="B24" s="2" t="s">
        <v>52</v>
      </c>
      <c r="C24" s="1" t="s">
        <v>48</v>
      </c>
      <c r="D24" s="1">
        <v>18.41</v>
      </c>
      <c r="E24" s="1">
        <v>147.28</v>
      </c>
      <c r="F24" s="3">
        <v>2650</v>
      </c>
      <c r="G24" s="3">
        <f t="shared" si="1"/>
        <v>390292</v>
      </c>
    </row>
    <row r="25" spans="1:19">
      <c r="A25" s="1" t="s">
        <v>53</v>
      </c>
      <c r="B25" s="2" t="s">
        <v>54</v>
      </c>
      <c r="C25" s="1" t="s">
        <v>55</v>
      </c>
      <c r="D25" s="1">
        <v>14</v>
      </c>
      <c r="E25" s="1">
        <v>112</v>
      </c>
      <c r="F25" s="3">
        <v>1800</v>
      </c>
      <c r="G25" s="3">
        <f t="shared" si="1"/>
        <v>201600</v>
      </c>
    </row>
    <row r="26" spans="1:19">
      <c r="A26" s="1" t="s">
        <v>56</v>
      </c>
      <c r="B26" s="2" t="s">
        <v>57</v>
      </c>
      <c r="C26" s="1" t="s">
        <v>55</v>
      </c>
      <c r="D26" s="1">
        <v>7</v>
      </c>
      <c r="E26" s="1">
        <v>56</v>
      </c>
      <c r="F26" s="3">
        <v>1800</v>
      </c>
      <c r="G26" s="3">
        <f t="shared" si="1"/>
        <v>100800</v>
      </c>
    </row>
    <row r="27" spans="1:19">
      <c r="A27" s="1" t="s">
        <v>58</v>
      </c>
      <c r="B27" s="2" t="s">
        <v>59</v>
      </c>
      <c r="C27" s="1" t="s">
        <v>55</v>
      </c>
      <c r="D27" s="1">
        <v>14</v>
      </c>
      <c r="E27" s="1">
        <v>112</v>
      </c>
      <c r="F27" s="3">
        <v>1800</v>
      </c>
      <c r="G27" s="3">
        <f t="shared" si="1"/>
        <v>201600</v>
      </c>
    </row>
    <row r="28" spans="1:19">
      <c r="A28" s="1" t="s">
        <v>60</v>
      </c>
      <c r="B28" s="2" t="s">
        <v>61</v>
      </c>
      <c r="C28" s="1" t="s">
        <v>17</v>
      </c>
      <c r="D28" s="1">
        <v>7</v>
      </c>
      <c r="E28" s="1">
        <v>56</v>
      </c>
      <c r="F28" s="3">
        <v>600</v>
      </c>
      <c r="G28" s="3">
        <f t="shared" si="1"/>
        <v>33600</v>
      </c>
    </row>
    <row r="29" spans="1:19">
      <c r="A29" s="1" t="s">
        <v>62</v>
      </c>
      <c r="B29" s="2" t="s">
        <v>63</v>
      </c>
      <c r="C29" s="1" t="s">
        <v>17</v>
      </c>
      <c r="D29" s="1">
        <v>7</v>
      </c>
      <c r="E29" s="1">
        <v>56</v>
      </c>
      <c r="F29" s="3">
        <v>600</v>
      </c>
      <c r="G29" s="3">
        <f t="shared" si="1"/>
        <v>33600</v>
      </c>
    </row>
    <row r="30" spans="1:19">
      <c r="A30" s="1" t="s">
        <v>64</v>
      </c>
      <c r="B30" s="2" t="s">
        <v>65</v>
      </c>
      <c r="C30" s="1" t="s">
        <v>19</v>
      </c>
      <c r="D30" s="1">
        <v>7</v>
      </c>
      <c r="E30" s="1">
        <v>56</v>
      </c>
      <c r="F30" s="3">
        <v>850</v>
      </c>
      <c r="G30" s="3">
        <f t="shared" si="1"/>
        <v>47600</v>
      </c>
    </row>
    <row r="31" spans="1:19">
      <c r="A31" s="1" t="s">
        <v>66</v>
      </c>
      <c r="B31" s="2" t="s">
        <v>67</v>
      </c>
      <c r="C31" s="1" t="s">
        <v>6</v>
      </c>
      <c r="D31" s="1">
        <v>7</v>
      </c>
      <c r="E31" s="1">
        <v>56</v>
      </c>
      <c r="F31" s="3">
        <v>1000</v>
      </c>
      <c r="G31" s="3">
        <f t="shared" si="1"/>
        <v>56000</v>
      </c>
    </row>
    <row r="32" spans="1:19">
      <c r="A32" s="1" t="s">
        <v>68</v>
      </c>
      <c r="B32" s="2" t="s">
        <v>69</v>
      </c>
      <c r="C32" s="1" t="s">
        <v>6</v>
      </c>
      <c r="D32" s="1">
        <v>7</v>
      </c>
      <c r="E32" s="1">
        <v>56</v>
      </c>
      <c r="F32" s="3">
        <v>1000</v>
      </c>
      <c r="G32" s="3">
        <f t="shared" si="1"/>
        <v>56000</v>
      </c>
    </row>
    <row r="33" spans="1:7">
      <c r="A33" s="1" t="s">
        <v>70</v>
      </c>
      <c r="B33" s="2" t="s">
        <v>71</v>
      </c>
      <c r="C33" s="1" t="s">
        <v>6</v>
      </c>
      <c r="D33" s="1">
        <v>7</v>
      </c>
      <c r="E33" s="1">
        <v>56</v>
      </c>
      <c r="F33" s="3">
        <v>1000</v>
      </c>
      <c r="G33" s="3">
        <f t="shared" si="1"/>
        <v>56000</v>
      </c>
    </row>
    <row r="34" spans="1:7">
      <c r="A34" s="7" t="s">
        <v>72</v>
      </c>
      <c r="B34" s="7"/>
      <c r="C34" s="7"/>
      <c r="D34" s="7"/>
      <c r="E34" s="7"/>
      <c r="F34" s="7"/>
      <c r="G34" s="4">
        <f>SUM(G14:G33)</f>
        <v>2058704</v>
      </c>
    </row>
    <row r="36" spans="1:7" ht="21.75" customHeight="1">
      <c r="A36" s="16" t="s">
        <v>73</v>
      </c>
      <c r="B36" s="16"/>
      <c r="C36" s="16"/>
      <c r="D36" s="16"/>
      <c r="E36" s="16"/>
      <c r="F36" s="16"/>
      <c r="G36" s="16"/>
    </row>
    <row r="37" spans="1:7" ht="15">
      <c r="A37" s="11" t="s">
        <v>74</v>
      </c>
      <c r="B37" s="11"/>
      <c r="C37" s="11"/>
      <c r="D37" s="11"/>
      <c r="E37" s="11"/>
      <c r="F37" s="11"/>
      <c r="G37" s="5">
        <f>E10</f>
        <v>2010704</v>
      </c>
    </row>
    <row r="38" spans="1:7" ht="15">
      <c r="A38" s="12" t="s">
        <v>75</v>
      </c>
      <c r="B38" s="13"/>
      <c r="C38" s="13"/>
      <c r="D38" s="13"/>
      <c r="E38" s="13"/>
      <c r="F38" s="14"/>
      <c r="G38" s="5">
        <f>G34</f>
        <v>2058704</v>
      </c>
    </row>
    <row r="39" spans="1:7" ht="15">
      <c r="A39" s="24" t="s">
        <v>76</v>
      </c>
      <c r="B39" s="24"/>
      <c r="C39" s="24"/>
      <c r="D39" s="24"/>
      <c r="E39" s="24"/>
      <c r="F39" s="24"/>
      <c r="G39" s="6">
        <f>G37+G38</f>
        <v>4069408</v>
      </c>
    </row>
    <row r="41" spans="1:7" ht="30" customHeight="1">
      <c r="A41" s="8"/>
      <c r="B41" s="8"/>
      <c r="C41" s="8"/>
      <c r="D41" s="8"/>
      <c r="E41" s="8"/>
      <c r="F41" s="8"/>
      <c r="G41" s="8"/>
    </row>
  </sheetData>
  <mergeCells count="11">
    <mergeCell ref="P3:S3"/>
    <mergeCell ref="A37:F37"/>
    <mergeCell ref="A38:F38"/>
    <mergeCell ref="A39:F39"/>
    <mergeCell ref="A41:G41"/>
    <mergeCell ref="P21:S21"/>
    <mergeCell ref="A1:E1"/>
    <mergeCell ref="A10:D10"/>
    <mergeCell ref="A12:G12"/>
    <mergeCell ref="A34:F34"/>
    <mergeCell ref="A36:G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1748-1F0C-4CFB-B7F5-186B4FCF48DD}">
  <dimension ref="A1"/>
  <sheetViews>
    <sheetView workbookViewId="0">
      <selection activeCell="C3" sqref="C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2026-07-14T16:14:00Z</dcterms:created>
  <dcterms:modified xsi:type="dcterms:W3CDTF">2026-07-15T04:24:42Z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5424B7451F5B4ACBABFE20DB04334D13_12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